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angi\kDrive\Common documents\Surya\04-R&amp;D\Projet BRASSE 2\07-Communication\Rendus finaux\Envoi Hakim\"/>
    </mc:Choice>
  </mc:AlternateContent>
  <xr:revisionPtr revIDLastSave="0" documentId="13_ncr:1_{8C3A150C-EC10-44D1-823A-E213FF17A158}" xr6:coauthVersionLast="47" xr6:coauthVersionMax="47" xr10:uidLastSave="{00000000-0000-0000-0000-000000000000}"/>
  <bookViews>
    <workbookView xWindow="-23148" yWindow="-108" windowWidth="23256" windowHeight="13176" xr2:uid="{43AC6D79-C91D-4A17-ABD6-2DEF8AC188E3}"/>
  </bookViews>
  <sheets>
    <sheet name="Accueil" sheetId="3" r:id="rId1"/>
    <sheet name="BDD" sheetId="1" r:id="rId2"/>
  </sheets>
  <externalReferences>
    <externalReference r:id="rId3"/>
  </externalReferences>
  <definedNames>
    <definedName name="_xlnm._FilterDatabase" localSheetId="1" hidden="1">BDD!$A$3:$AE$51</definedName>
    <definedName name="critère">[1]Analyses!#REF!</definedName>
    <definedName name="DebutCamp">[1]Synthèse!$B$6</definedName>
    <definedName name="FinCampagne">[1]Synthèse!$B$8</definedName>
    <definedName name="J_JMC">[1]datas_moy!$K$2</definedName>
    <definedName name="J_JPC">[1]datas_moy!$L$2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 i="1" l="1"/>
</calcChain>
</file>

<file path=xl/sharedStrings.xml><?xml version="1.0" encoding="utf-8"?>
<sst xmlns="http://schemas.openxmlformats.org/spreadsheetml/2006/main" count="283" uniqueCount="155">
  <si>
    <t>Vmin</t>
  </si>
  <si>
    <t>Vmax</t>
  </si>
  <si>
    <t>Direct</t>
  </si>
  <si>
    <t>Entraînement</t>
  </si>
  <si>
    <t>ID</t>
  </si>
  <si>
    <t>Marque</t>
  </si>
  <si>
    <t>Modèle</t>
  </si>
  <si>
    <t>Diamètre du BA (cm)</t>
  </si>
  <si>
    <t>Hauteur du BA (cm)</t>
  </si>
  <si>
    <t>Ratio D/h</t>
  </si>
  <si>
    <t>Moteur</t>
  </si>
  <si>
    <t>1601DCR152</t>
  </si>
  <si>
    <t>Anemoi</t>
  </si>
  <si>
    <t>Boreas</t>
  </si>
  <si>
    <t>DC</t>
  </si>
  <si>
    <t>1602DCR132</t>
  </si>
  <si>
    <t>Cefiro</t>
  </si>
  <si>
    <t>0501DCR132</t>
  </si>
  <si>
    <t>Big Ass Fans</t>
  </si>
  <si>
    <t>Haiku L</t>
  </si>
  <si>
    <t>0801DCR132</t>
  </si>
  <si>
    <t>brasseurs-air-re2020</t>
  </si>
  <si>
    <t>IZYFAN</t>
  </si>
  <si>
    <t>0802DCF132</t>
  </si>
  <si>
    <t>Samarat</t>
  </si>
  <si>
    <t>0803DCF132</t>
  </si>
  <si>
    <t>1405ACF132</t>
  </si>
  <si>
    <t>Casafan</t>
  </si>
  <si>
    <t>Classic Flat III</t>
  </si>
  <si>
    <t>AC</t>
  </si>
  <si>
    <t>1403DCR152</t>
  </si>
  <si>
    <t>Eco genuino</t>
  </si>
  <si>
    <t>1402DCF142</t>
  </si>
  <si>
    <t>CasaFan</t>
  </si>
  <si>
    <t>Eco Pallas</t>
  </si>
  <si>
    <t>1404DCF140</t>
  </si>
  <si>
    <t>Eco regento</t>
  </si>
  <si>
    <t>1401ACR132</t>
  </si>
  <si>
    <t>Titanum</t>
  </si>
  <si>
    <t>0304DCF132</t>
  </si>
  <si>
    <t>Create</t>
  </si>
  <si>
    <t>Wind Calm</t>
  </si>
  <si>
    <t>0302DCR152</t>
  </si>
  <si>
    <t>Wind Large</t>
  </si>
  <si>
    <t>0303DCR132</t>
  </si>
  <si>
    <t>Wind Stylance</t>
  </si>
  <si>
    <t>0305DCR132</t>
  </si>
  <si>
    <t>0301ACR132</t>
  </si>
  <si>
    <t>Wind Wood</t>
  </si>
  <si>
    <t>1201DCF132</t>
  </si>
  <si>
    <t>Fanelite</t>
  </si>
  <si>
    <t>ARATUA</t>
  </si>
  <si>
    <t>1101DCR128</t>
  </si>
  <si>
    <t>Faro</t>
  </si>
  <si>
    <t>Just fan</t>
  </si>
  <si>
    <t>1101DCR128B</t>
  </si>
  <si>
    <t>1103DCR142</t>
  </si>
  <si>
    <t>Malvinas</t>
  </si>
  <si>
    <t>1102DCR132</t>
  </si>
  <si>
    <t>Nu</t>
  </si>
  <si>
    <t>2401DCR117</t>
  </si>
  <si>
    <t>Frabilamp</t>
  </si>
  <si>
    <t>Klod</t>
  </si>
  <si>
    <t>0101ACR132</t>
  </si>
  <si>
    <t>GoodHome</t>
  </si>
  <si>
    <t>Linto</t>
  </si>
  <si>
    <t>0204ACF132</t>
  </si>
  <si>
    <t>Hunter</t>
  </si>
  <si>
    <t>Industrie II</t>
  </si>
  <si>
    <t>0201ACR132</t>
  </si>
  <si>
    <t>0202ACR112</t>
  </si>
  <si>
    <t>Low Profile III</t>
  </si>
  <si>
    <t>0203ACR132</t>
  </si>
  <si>
    <t>0703DCR107</t>
  </si>
  <si>
    <t>Inspire</t>
  </si>
  <si>
    <t>Beach M</t>
  </si>
  <si>
    <t>0704DCR071</t>
  </si>
  <si>
    <t>Beach S</t>
  </si>
  <si>
    <t>0701DCR086</t>
  </si>
  <si>
    <t>Palmela S</t>
  </si>
  <si>
    <t>0705DCR086</t>
  </si>
  <si>
    <t>0702DCR091</t>
  </si>
  <si>
    <t>Siroco Plus</t>
  </si>
  <si>
    <t>1501DCR100</t>
  </si>
  <si>
    <t>Leds C4</t>
  </si>
  <si>
    <t>Xaloc</t>
  </si>
  <si>
    <t>1701DCR150</t>
  </si>
  <si>
    <t>LucciAIR</t>
  </si>
  <si>
    <t>Louisville</t>
  </si>
  <si>
    <t>2301ACR122</t>
  </si>
  <si>
    <t>Proficare</t>
  </si>
  <si>
    <t>PC-DVL-3071</t>
  </si>
  <si>
    <t>1901ACR140</t>
  </si>
  <si>
    <t>RS Pro</t>
  </si>
  <si>
    <t>136-9561</t>
  </si>
  <si>
    <t>0903ACR140</t>
  </si>
  <si>
    <t>S&amp;P</t>
  </si>
  <si>
    <t>HTB140RC</t>
  </si>
  <si>
    <t>0902ACR100</t>
  </si>
  <si>
    <t>HTB90RC</t>
  </si>
  <si>
    <t>0901DCR135</t>
  </si>
  <si>
    <t>HTD135DCOAK</t>
  </si>
  <si>
    <t>0401DCR162</t>
  </si>
  <si>
    <t>Turbobrise</t>
  </si>
  <si>
    <t>ERP160</t>
  </si>
  <si>
    <t>1004ACR132</t>
  </si>
  <si>
    <t>Westinghouse</t>
  </si>
  <si>
    <t>Bendan</t>
  </si>
  <si>
    <t>1002ACR142</t>
  </si>
  <si>
    <t>Industrial</t>
  </si>
  <si>
    <t>1001ACR105</t>
  </si>
  <si>
    <t>Princess euro</t>
  </si>
  <si>
    <t>1003ACR076</t>
  </si>
  <si>
    <t>Turbo Swirl</t>
  </si>
  <si>
    <t>2101ACR122</t>
  </si>
  <si>
    <t>Wiltec</t>
  </si>
  <si>
    <t>1803DCF132</t>
  </si>
  <si>
    <t>Wixled</t>
  </si>
  <si>
    <t>Bony</t>
  </si>
  <si>
    <t>1801DCR132</t>
  </si>
  <si>
    <t>Hanoi</t>
  </si>
  <si>
    <t>Moyenne</t>
  </si>
  <si>
    <t>Guide analyse de l'instrumentation</t>
  </si>
  <si>
    <t>La présente base de données est issue du programme de recherche BRASSE II.
Les résultats présentés correspondent fidèlement aux observations réalisées, sans altération ni sélection biaisée, et sont fournis avec les métadonnées nécessaires pour en garantir l’intégrité, la transparence et la reproductibilité.
Le protocole expérimental est le protocole BRASSE_2023_1.0.
Pour plus d'information, se référer aux rapports de recherche BRASSE disponible en ligne.</t>
  </si>
  <si>
    <t>Distance  plafond/BA (cm)</t>
  </si>
  <si>
    <t>Monobloc</t>
  </si>
  <si>
    <t>Fixation</t>
  </si>
  <si>
    <t>Rotule/pivot</t>
  </si>
  <si>
    <t>V_Vmin (rpm)</t>
  </si>
  <si>
    <t>P_Vmin (W)</t>
  </si>
  <si>
    <t>LwA_Vmin (dBA)</t>
  </si>
  <si>
    <t>Vdir_assis_Vmin (m/s)</t>
  </si>
  <si>
    <t>Vdir_debout_Vmin (m/s)</t>
  </si>
  <si>
    <t>CEdir_assis_Vmin (°C)</t>
  </si>
  <si>
    <t>CEdir_debout_Vmin (°C)</t>
  </si>
  <si>
    <t>Vent_Vmin (m/s)</t>
  </si>
  <si>
    <t>CEentr_Vmin (°C)</t>
  </si>
  <si>
    <t>Vitesse moyenne_Vmin (m/s)</t>
  </si>
  <si>
    <t>CE moyen_Vmin (°C)</t>
  </si>
  <si>
    <t>V_Vmax (rpm)</t>
  </si>
  <si>
    <t>P_Vmax (W)</t>
  </si>
  <si>
    <t>LwA_Vmax (dBA)</t>
  </si>
  <si>
    <t>Vdir_assis_Vmax (m/s)</t>
  </si>
  <si>
    <t xml:space="preserve">Vdir_debout_Vmax (m/s) </t>
  </si>
  <si>
    <t>CEdir_debout_Vmax (°C)</t>
  </si>
  <si>
    <t>CEdir_assis_Vmax (°C)</t>
  </si>
  <si>
    <t>Vent_Vmax (m/s)</t>
  </si>
  <si>
    <t>CEent_Vmax (°C)</t>
  </si>
  <si>
    <t>Vitesse moyenne_Vmax (m/s)</t>
  </si>
  <si>
    <t>CE moyen_Vmax (°C)</t>
  </si>
  <si>
    <t>Date de publication :</t>
  </si>
  <si>
    <t>Version de la base de données :</t>
  </si>
  <si>
    <t>1802ACR132</t>
  </si>
  <si>
    <t>Taliou</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</si>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</sst>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x14ac:knownFonts="1">
    <font>
      <sz val="11"/>
      <color theme="1"/>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name val="Aptos Narrow"/>
      <family val="2"/>
      <scheme val="minor"/>
    </font>
    <font>
      <sz val="11"/>
      <color theme="5"/>
      <name val="Aptos Narrow"/>
      <family val="2"/>
      <scheme val="minor"/>
    </font>
    <font>
      <b/>
      <sz val="11"/>
      <name val="Aptos Narrow"/>
      <family val="2"/>
      <scheme val="minor"/>
    </font>
    <font>
      <sz val="8"/>
      <name val="Aptos Narrow"/>
      <family val="2"/>
      <scheme val="minor"/>
    </font>
    <font>
      <sz val="10"/>
      <name val="Verdana"/>
      <family val="2"/>
    </font>
    <font>
      <sz val="10"/>
      <color rgb="FFFF0000"/>
      <name val="Verdana"/>
      <family val="2"/>
    </font>
    <font>
      <b/>
      <sz val="11"/>
      <color theme="5"/>
      <name val="Verdana"/>
      <family val="2"/>
    </font>
    <font>
      <b/>
      <sz val="11"/>
      <color rgb="FF00B050"/>
      <name val="Verdana"/>
      <family val="2"/>
    </font>
    <font>
      <sz val="11"/>
      <color rgb="FF125A3A"/>
      <name val="Aptos Narrow"/>
      <family val="2"/>
      <scheme val="minor"/>
    </font>
    <font>
      <sz val="11"/>
      <color theme="5"/>
      <name val="Verdana"/>
      <family val="2"/>
    </font>
    <font>
      <b/>
      <sz val="14"/>
      <color theme="0"/>
      <name val="Aptos Narrow"/>
      <family val="2"/>
      <scheme val="minor"/>
    </font>
    <font>
      <b/>
      <sz val="11"/>
      <name val="Verdana"/>
      <family val="2"/>
    </font>
    <font>
      <sz val="11"/>
      <name val="Verdana"/>
      <family val="2"/>
    </font>
  </fonts>
  <fills count="12">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7" tint="0.59999389629810485"/>
        <bgColor indexed="64"/>
      </patternFill>
    </fill>
  </fills>
  <borders count="17">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theme="4" tint="0.39997558519241921"/>
      </top>
      <bottom style="medium">
        <color indexed="64"/>
      </bottom>
      <diagonal/>
    </border>
    <border>
      <left/>
      <right/>
      <top style="thin">
        <color theme="4" tint="0.39997558519241921"/>
      </top>
      <bottom style="medium">
        <color indexed="64"/>
      </bottom>
      <diagonal/>
    </border>
    <border>
      <left/>
      <right style="medium">
        <color indexed="64"/>
      </right>
      <top style="thin">
        <color theme="4" tint="0.39997558519241921"/>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thin">
        <color theme="4" tint="0.39997558519241921"/>
      </top>
      <bottom/>
      <diagonal/>
    </border>
    <border>
      <left/>
      <right/>
      <top style="thin">
        <color theme="4" tint="0.39997558519241921"/>
      </top>
      <bottom/>
      <diagonal/>
    </border>
    <border>
      <left/>
      <right style="medium">
        <color indexed="64"/>
      </right>
      <top style="thin">
        <color theme="4" tint="0.39997558519241921"/>
      </top>
      <bottom/>
      <diagonal/>
    </border>
  </borders>
  <cellStyleXfs count="2">
    <xf numFmtId="0" fontId="0" fillId="0" borderId="0"/>
    <xf numFmtId="0" fontId="8" fillId="0" borderId="0"/>
  </cellStyleXfs>
  <cellXfs count="97">
    <xf numFmtId="0" fontId="0" fillId="0" borderId="0" xfId="0"/>
    <xf numFmtId="0" fontId="0" fillId="3" borderId="0" xfId="0" applyFill="1" applyAlignment="1">
      <alignment horizontal="center"/>
    </xf>
    <xf numFmtId="1" fontId="0" fillId="3" borderId="0" xfId="0" applyNumberFormat="1" applyFill="1" applyAlignment="1">
      <alignment horizontal="center"/>
    </xf>
    <xf numFmtId="0" fontId="1" fillId="3" borderId="0" xfId="0" applyFont="1" applyFill="1" applyAlignment="1">
      <alignment horizontal="center"/>
    </xf>
    <xf numFmtId="1" fontId="1" fillId="3" borderId="0" xfId="0" applyNumberFormat="1" applyFont="1" applyFill="1" applyAlignment="1">
      <alignment horizontal="center"/>
    </xf>
    <xf numFmtId="0" fontId="4" fillId="3" borderId="0" xfId="0" applyFont="1" applyFill="1" applyAlignment="1">
      <alignment horizontal="center" vertical="center" wrapText="1"/>
    </xf>
    <xf numFmtId="2" fontId="2" fillId="3" borderId="0" xfId="0" applyNumberFormat="1" applyFont="1" applyFill="1" applyAlignment="1">
      <alignment horizontal="center"/>
    </xf>
    <xf numFmtId="2" fontId="0" fillId="3" borderId="0" xfId="0" applyNumberFormat="1" applyFill="1" applyAlignment="1">
      <alignment horizontal="center"/>
    </xf>
    <xf numFmtId="2" fontId="5" fillId="3" borderId="0" xfId="0" applyNumberFormat="1" applyFont="1" applyFill="1" applyAlignment="1">
      <alignment horizontal="center"/>
    </xf>
    <xf numFmtId="1" fontId="4" fillId="3" borderId="0" xfId="0" applyNumberFormat="1" applyFont="1" applyFill="1" applyAlignment="1">
      <alignment horizontal="center"/>
    </xf>
    <xf numFmtId="165" fontId="0" fillId="3" borderId="0" xfId="0" applyNumberFormat="1" applyFill="1" applyAlignment="1">
      <alignment horizontal="center"/>
    </xf>
    <xf numFmtId="0" fontId="0" fillId="3" borderId="0" xfId="0" applyFill="1"/>
    <xf numFmtId="0" fontId="8" fillId="3" borderId="0" xfId="1" applyFill="1"/>
    <xf numFmtId="0" fontId="9" fillId="4" borderId="0" xfId="1" applyFont="1" applyFill="1"/>
    <xf numFmtId="0" fontId="8" fillId="4" borderId="0" xfId="1" applyFill="1"/>
    <xf numFmtId="0" fontId="11" fillId="4" borderId="0" xfId="1" applyFont="1" applyFill="1" applyAlignment="1">
      <alignment vertical="center"/>
    </xf>
    <xf numFmtId="0" fontId="12" fillId="3" borderId="0" xfId="0" applyFont="1" applyFill="1"/>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7" borderId="7" xfId="0" applyFont="1" applyFill="1" applyBorder="1" applyAlignment="1">
      <alignment horizontal="center"/>
    </xf>
    <xf numFmtId="0" fontId="6" fillId="10" borderId="12" xfId="0" applyFont="1" applyFill="1" applyBorder="1" applyAlignment="1">
      <alignment horizontal="center" vertical="center" wrapText="1"/>
    </xf>
    <xf numFmtId="1" fontId="6" fillId="10" borderId="2" xfId="0" applyNumberFormat="1" applyFont="1" applyFill="1" applyBorder="1" applyAlignment="1">
      <alignment horizontal="center" vertical="center" wrapText="1"/>
    </xf>
    <xf numFmtId="1" fontId="6" fillId="10" borderId="12"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0" fillId="2" borderId="2" xfId="0" applyFill="1" applyBorder="1" applyAlignment="1">
      <alignment horizontal="center" vertical="center"/>
    </xf>
    <xf numFmtId="2" fontId="0" fillId="2" borderId="3" xfId="0" applyNumberFormat="1" applyFill="1" applyBorder="1" applyAlignment="1">
      <alignment horizontal="center" vertical="center"/>
    </xf>
    <xf numFmtId="2" fontId="4" fillId="2" borderId="3" xfId="0" applyNumberFormat="1" applyFont="1" applyFill="1" applyBorder="1" applyAlignment="1">
      <alignment horizontal="center" vertical="center"/>
    </xf>
    <xf numFmtId="1" fontId="0" fillId="2" borderId="2" xfId="0" applyNumberFormat="1" applyFill="1" applyBorder="1" applyAlignment="1">
      <alignment horizontal="center" vertical="center"/>
    </xf>
    <xf numFmtId="1" fontId="0" fillId="2" borderId="3" xfId="0" applyNumberFormat="1" applyFill="1" applyBorder="1" applyAlignment="1">
      <alignment horizontal="center" vertical="center"/>
    </xf>
    <xf numFmtId="164" fontId="0" fillId="2" borderId="3" xfId="0" applyNumberFormat="1" applyFill="1" applyBorder="1" applyAlignment="1">
      <alignment horizontal="center" vertical="center"/>
    </xf>
    <xf numFmtId="2" fontId="0" fillId="2" borderId="2" xfId="0" applyNumberFormat="1" applyFill="1" applyBorder="1" applyAlignment="1">
      <alignment horizontal="center" vertical="center"/>
    </xf>
    <xf numFmtId="2" fontId="0" fillId="2" borderId="4" xfId="0" applyNumberFormat="1" applyFill="1" applyBorder="1" applyAlignment="1">
      <alignment horizontal="center" vertical="center"/>
    </xf>
    <xf numFmtId="0" fontId="0" fillId="0" borderId="14" xfId="0" applyBorder="1" applyAlignment="1">
      <alignment horizontal="center" vertical="center"/>
    </xf>
    <xf numFmtId="2" fontId="0" fillId="0" borderId="15" xfId="0" applyNumberFormat="1" applyBorder="1" applyAlignment="1">
      <alignment horizontal="center" vertical="center"/>
    </xf>
    <xf numFmtId="2" fontId="4" fillId="0" borderId="15" xfId="0" applyNumberFormat="1" applyFont="1" applyBorder="1" applyAlignment="1">
      <alignment horizontal="center" vertical="center"/>
    </xf>
    <xf numFmtId="1" fontId="0" fillId="0" borderId="14" xfId="0" applyNumberFormat="1" applyBorder="1" applyAlignment="1">
      <alignment horizontal="center" vertical="center"/>
    </xf>
    <xf numFmtId="1" fontId="0" fillId="0" borderId="15" xfId="0" applyNumberFormat="1" applyBorder="1" applyAlignment="1">
      <alignment horizontal="center" vertical="center"/>
    </xf>
    <xf numFmtId="164" fontId="0" fillId="0" borderId="15" xfId="0" applyNumberFormat="1" applyBorder="1" applyAlignment="1">
      <alignment horizontal="center" vertical="center"/>
    </xf>
    <xf numFmtId="2" fontId="0" fillId="0" borderId="14" xfId="0" applyNumberFormat="1" applyBorder="1" applyAlignment="1">
      <alignment horizontal="center" vertical="center"/>
    </xf>
    <xf numFmtId="2" fontId="0" fillId="0" borderId="16" xfId="0" applyNumberFormat="1" applyBorder="1" applyAlignment="1">
      <alignment horizontal="center" vertical="center"/>
    </xf>
    <xf numFmtId="2" fontId="0" fillId="2" borderId="14" xfId="0" applyNumberFormat="1" applyFill="1" applyBorder="1" applyAlignment="1">
      <alignment horizontal="center" vertical="center"/>
    </xf>
    <xf numFmtId="2" fontId="0" fillId="2" borderId="15" xfId="0" applyNumberFormat="1" applyFill="1" applyBorder="1" applyAlignment="1">
      <alignment horizontal="center" vertical="center"/>
    </xf>
    <xf numFmtId="2" fontId="4" fillId="2" borderId="15" xfId="0" applyNumberFormat="1" applyFont="1" applyFill="1" applyBorder="1" applyAlignment="1">
      <alignment horizontal="center" vertical="center"/>
    </xf>
    <xf numFmtId="1" fontId="0" fillId="2" borderId="14" xfId="0" applyNumberFormat="1" applyFill="1" applyBorder="1" applyAlignment="1">
      <alignment horizontal="center" vertical="center"/>
    </xf>
    <xf numFmtId="1" fontId="0" fillId="2" borderId="15" xfId="0" applyNumberFormat="1" applyFill="1" applyBorder="1" applyAlignment="1">
      <alignment horizontal="center" vertical="center"/>
    </xf>
    <xf numFmtId="164" fontId="0" fillId="2" borderId="15" xfId="0" applyNumberFormat="1" applyFill="1" applyBorder="1" applyAlignment="1">
      <alignment horizontal="center" vertical="center"/>
    </xf>
    <xf numFmtId="2" fontId="0" fillId="2" borderId="16" xfId="0" applyNumberFormat="1" applyFill="1" applyBorder="1" applyAlignment="1">
      <alignment horizontal="center" vertical="center"/>
    </xf>
    <xf numFmtId="2" fontId="4" fillId="0" borderId="14" xfId="0" applyNumberFormat="1" applyFont="1" applyBorder="1" applyAlignment="1">
      <alignment horizontal="center" vertical="center"/>
    </xf>
    <xf numFmtId="1" fontId="4" fillId="0" borderId="14" xfId="0" applyNumberFormat="1" applyFont="1" applyBorder="1" applyAlignment="1">
      <alignment horizontal="center" vertical="center"/>
    </xf>
    <xf numFmtId="1" fontId="4" fillId="0" borderId="15" xfId="0" applyNumberFormat="1" applyFont="1" applyBorder="1" applyAlignment="1">
      <alignment horizontal="center" vertical="center"/>
    </xf>
    <xf numFmtId="164" fontId="4" fillId="0" borderId="15" xfId="0" applyNumberFormat="1" applyFont="1" applyBorder="1" applyAlignment="1">
      <alignment horizontal="center" vertical="center"/>
    </xf>
    <xf numFmtId="2" fontId="4" fillId="0" borderId="16" xfId="0" applyNumberFormat="1" applyFont="1" applyBorder="1" applyAlignment="1">
      <alignment horizontal="center" vertical="center"/>
    </xf>
    <xf numFmtId="2" fontId="4" fillId="2" borderId="14" xfId="0" applyNumberFormat="1" applyFont="1" applyFill="1" applyBorder="1" applyAlignment="1">
      <alignment horizontal="center" vertical="center"/>
    </xf>
    <xf numFmtId="1" fontId="4" fillId="2" borderId="14" xfId="0" applyNumberFormat="1" applyFont="1" applyFill="1" applyBorder="1" applyAlignment="1">
      <alignment horizontal="center" vertical="center"/>
    </xf>
    <xf numFmtId="1" fontId="4" fillId="2" borderId="15" xfId="0" applyNumberFormat="1" applyFont="1" applyFill="1" applyBorder="1" applyAlignment="1">
      <alignment horizontal="center" vertical="center"/>
    </xf>
    <xf numFmtId="164" fontId="4" fillId="2" borderId="15" xfId="0" applyNumberFormat="1" applyFont="1" applyFill="1" applyBorder="1" applyAlignment="1">
      <alignment horizontal="center" vertical="center"/>
    </xf>
    <xf numFmtId="2" fontId="4" fillId="2" borderId="16" xfId="0" applyNumberFormat="1" applyFont="1" applyFill="1" applyBorder="1" applyAlignment="1">
      <alignment horizontal="center" vertical="center"/>
    </xf>
    <xf numFmtId="0" fontId="0" fillId="2" borderId="14" xfId="0" applyFill="1" applyBorder="1" applyAlignment="1">
      <alignment horizontal="center" vertical="center"/>
    </xf>
    <xf numFmtId="0" fontId="4" fillId="2" borderId="14" xfId="0" applyFont="1" applyFill="1" applyBorder="1" applyAlignment="1">
      <alignment horizontal="center" vertical="center"/>
    </xf>
    <xf numFmtId="0" fontId="4" fillId="0" borderId="14" xfId="0" applyFont="1" applyBorder="1" applyAlignment="1">
      <alignment horizontal="center" vertical="center"/>
    </xf>
    <xf numFmtId="0" fontId="1" fillId="7" borderId="0" xfId="0" applyFont="1" applyFill="1" applyAlignment="1">
      <alignment horizontal="center"/>
    </xf>
    <xf numFmtId="0" fontId="10" fillId="3" borderId="0" xfId="1" applyFont="1" applyFill="1" applyAlignment="1">
      <alignment vertical="center"/>
    </xf>
    <xf numFmtId="14" fontId="15" fillId="3" borderId="0" xfId="1" applyNumberFormat="1" applyFont="1" applyFill="1" applyAlignment="1">
      <alignment horizontal="center" vertical="center"/>
    </xf>
    <xf numFmtId="14" fontId="16" fillId="3" borderId="0" xfId="1" applyNumberFormat="1" applyFont="1" applyFill="1" applyAlignment="1">
      <alignment horizontal="center" vertic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6" borderId="5" xfId="0" applyFont="1" applyFill="1" applyBorder="1" applyAlignment="1">
      <alignment horizontal="center"/>
    </xf>
    <xf numFmtId="0" fontId="1" fillId="6" borderId="6" xfId="0" applyFont="1" applyFill="1" applyBorder="1" applyAlignment="1">
      <alignment horizontal="center"/>
    </xf>
    <xf numFmtId="0" fontId="1" fillId="5" borderId="8" xfId="0" applyFont="1" applyFill="1" applyBorder="1" applyAlignment="1">
      <alignment horizontal="center"/>
    </xf>
    <xf numFmtId="0" fontId="1" fillId="11" borderId="5" xfId="0" applyFont="1" applyFill="1" applyBorder="1" applyAlignment="1">
      <alignment horizontal="center"/>
    </xf>
    <xf numFmtId="0" fontId="1" fillId="11" borderId="6"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11" borderId="8" xfId="0" applyFont="1" applyFill="1" applyBorder="1" applyAlignment="1">
      <alignment horizontal="center"/>
    </xf>
    <xf numFmtId="0" fontId="14" fillId="4" borderId="2" xfId="0" applyFont="1" applyFill="1" applyBorder="1" applyAlignment="1">
      <alignment horizontal="center"/>
    </xf>
    <xf numFmtId="0" fontId="14" fillId="4" borderId="3" xfId="0" applyFont="1" applyFill="1" applyBorder="1" applyAlignment="1">
      <alignment horizontal="center"/>
    </xf>
    <xf numFmtId="0" fontId="14" fillId="4" borderId="4" xfId="0" applyFont="1" applyFill="1" applyBorder="1" applyAlignment="1">
      <alignment horizontal="center"/>
    </xf>
    <xf numFmtId="0" fontId="10" fillId="3" borderId="0" xfId="1" applyFont="1" applyFill="1" applyAlignment="1">
      <alignment horizontal="center" vertical="center"/>
    </xf>
    <xf numFmtId="0" fontId="13" fillId="3" borderId="0" xfId="1" applyFont="1" applyFill="1" applyAlignment="1">
      <alignment horizontal="left" vertical="top" wrapText="1"/>
    </xf>
    <xf numFmtId="2" fontId="0" fillId="0" borderId="9" xfId="0" applyNumberFormat="1" applyFill="1" applyBorder="1" applyAlignment="1">
      <alignment horizontal="center" vertical="center"/>
    </xf>
    <xf numFmtId="2" fontId="0" fillId="0" borderId="10" xfId="0" applyNumberFormat="1" applyFill="1" applyBorder="1" applyAlignment="1">
      <alignment horizontal="center" vertical="center"/>
    </xf>
    <xf numFmtId="2" fontId="4" fillId="0" borderId="10" xfId="0" applyNumberFormat="1" applyFont="1" applyFill="1" applyBorder="1" applyAlignment="1">
      <alignment horizontal="center" vertical="center"/>
    </xf>
    <xf numFmtId="1" fontId="0" fillId="0" borderId="9" xfId="0" applyNumberFormat="1" applyFill="1" applyBorder="1" applyAlignment="1">
      <alignment horizontal="center" vertical="center"/>
    </xf>
    <xf numFmtId="1" fontId="0" fillId="0" borderId="10" xfId="0" applyNumberFormat="1" applyFill="1" applyBorder="1" applyAlignment="1">
      <alignment horizontal="center" vertical="center"/>
    </xf>
    <xf numFmtId="164" fontId="0" fillId="0" borderId="10" xfId="0" applyNumberFormat="1" applyFill="1" applyBorder="1" applyAlignment="1">
      <alignment horizontal="center" vertical="center"/>
    </xf>
    <xf numFmtId="2" fontId="0" fillId="0" borderId="11" xfId="0" applyNumberFormat="1" applyFill="1" applyBorder="1" applyAlignment="1">
      <alignment horizontal="center" vertical="center"/>
    </xf>
  </cellXfs>
  <cellStyles count="2">
    <cellStyle name="Normal" xfId="0" builtinId="0"/>
    <cellStyle name="Normal 2" xfId="1" xr:uid="{F48BA9EE-EEF0-46BC-80F5-D8CCD2445A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6</xdr:col>
      <xdr:colOff>834390</xdr:colOff>
      <xdr:row>1</xdr:row>
      <xdr:rowOff>95663</xdr:rowOff>
    </xdr:from>
    <xdr:to>
      <xdr:col>6</xdr:col>
      <xdr:colOff>2150745</xdr:colOff>
      <xdr:row>1</xdr:row>
      <xdr:rowOff>496954</xdr:rowOff>
    </xdr:to>
    <xdr:pic>
      <xdr:nvPicPr>
        <xdr:cNvPr id="3" name="Image 2">
          <a:extLst>
            <a:ext uri="{FF2B5EF4-FFF2-40B4-BE49-F238E27FC236}">
              <a16:creationId xmlns:a16="http://schemas.microsoft.com/office/drawing/2014/main" id="{1747AA3F-2593-4142-95D2-0EF5941A58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06240" y="276638"/>
          <a:ext cx="1325880" cy="401291"/>
        </a:xfrm>
        <a:prstGeom prst="rect">
          <a:avLst/>
        </a:prstGeom>
      </xdr:spPr>
    </xdr:pic>
    <xdr:clientData/>
  </xdr:twoCellAnchor>
  <xdr:twoCellAnchor editAs="oneCell">
    <xdr:from>
      <xdr:col>1</xdr:col>
      <xdr:colOff>72390</xdr:colOff>
      <xdr:row>0</xdr:row>
      <xdr:rowOff>0</xdr:rowOff>
    </xdr:from>
    <xdr:to>
      <xdr:col>3</xdr:col>
      <xdr:colOff>1314450</xdr:colOff>
      <xdr:row>2</xdr:row>
      <xdr:rowOff>130332</xdr:rowOff>
    </xdr:to>
    <xdr:pic>
      <xdr:nvPicPr>
        <xdr:cNvPr id="5" name="Image 4">
          <a:extLst>
            <a:ext uri="{FF2B5EF4-FFF2-40B4-BE49-F238E27FC236}">
              <a16:creationId xmlns:a16="http://schemas.microsoft.com/office/drawing/2014/main" id="{04A3F657-A69A-EF04-4C7C-816D0AE3DC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4315" y="0"/>
          <a:ext cx="1804035" cy="917097"/>
        </a:xfrm>
        <a:prstGeom prst="rect">
          <a:avLst/>
        </a:prstGeom>
      </xdr:spPr>
    </xdr:pic>
    <xdr:clientData/>
  </xdr:twoCellAnchor>
  <xdr:twoCellAnchor editAs="oneCell">
    <xdr:from>
      <xdr:col>7</xdr:col>
      <xdr:colOff>274320</xdr:colOff>
      <xdr:row>1</xdr:row>
      <xdr:rowOff>62865</xdr:rowOff>
    </xdr:from>
    <xdr:to>
      <xdr:col>8</xdr:col>
      <xdr:colOff>169680</xdr:colOff>
      <xdr:row>1</xdr:row>
      <xdr:rowOff>591052</xdr:rowOff>
    </xdr:to>
    <xdr:pic>
      <xdr:nvPicPr>
        <xdr:cNvPr id="6" name="Image 5" descr="Une image contenant capture d’écran, texte, Police, Bleu électrique&#10;&#10;Description générée automatiquement">
          <a:extLst>
            <a:ext uri="{FF2B5EF4-FFF2-40B4-BE49-F238E27FC236}">
              <a16:creationId xmlns:a16="http://schemas.microsoft.com/office/drawing/2014/main" id="{166DA167-D70C-1A6E-FD05-7DC28141B4E4}"/>
            </a:ext>
          </a:extLst>
        </xdr:cNvPr>
        <xdr:cNvPicPr>
          <a:picLocks noChangeAspect="1"/>
        </xdr:cNvPicPr>
      </xdr:nvPicPr>
      <xdr:blipFill>
        <a:blip xmlns:r="http://schemas.openxmlformats.org/officeDocument/2006/relationships" r:embed="rId3"/>
        <a:stretch>
          <a:fillRect/>
        </a:stretch>
      </xdr:blipFill>
      <xdr:spPr>
        <a:xfrm>
          <a:off x="5913120" y="243840"/>
          <a:ext cx="571635" cy="514852"/>
        </a:xfrm>
        <a:prstGeom prst="rect">
          <a:avLst/>
        </a:prstGeom>
      </xdr:spPr>
    </xdr:pic>
    <xdr:clientData/>
  </xdr:twoCellAnchor>
  <xdr:twoCellAnchor editAs="oneCell">
    <xdr:from>
      <xdr:col>6</xdr:col>
      <xdr:colOff>2002155</xdr:colOff>
      <xdr:row>16</xdr:row>
      <xdr:rowOff>9525</xdr:rowOff>
    </xdr:from>
    <xdr:to>
      <xdr:col>10</xdr:col>
      <xdr:colOff>1905</xdr:colOff>
      <xdr:row>21</xdr:row>
      <xdr:rowOff>1859</xdr:rowOff>
    </xdr:to>
    <xdr:pic>
      <xdr:nvPicPr>
        <xdr:cNvPr id="7" name="Image 6" descr="Une image contenant texte, Police, logo, capture d’écran&#10;&#10;Description générée automatiquement">
          <a:extLst>
            <a:ext uri="{FF2B5EF4-FFF2-40B4-BE49-F238E27FC236}">
              <a16:creationId xmlns:a16="http://schemas.microsoft.com/office/drawing/2014/main" id="{59C2F749-A561-4B0D-2283-9B623E136CDE}"/>
            </a:ext>
          </a:extLst>
        </xdr:cNvPr>
        <xdr:cNvPicPr>
          <a:picLocks noChangeAspect="1"/>
        </xdr:cNvPicPr>
      </xdr:nvPicPr>
      <xdr:blipFill>
        <a:blip xmlns:r="http://schemas.openxmlformats.org/officeDocument/2006/relationships" r:embed="rId4"/>
        <a:stretch>
          <a:fillRect/>
        </a:stretch>
      </xdr:blipFill>
      <xdr:spPr>
        <a:xfrm>
          <a:off x="5374005" y="4267200"/>
          <a:ext cx="1295400" cy="8972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ngi\kDrive\Common%20documents\Surya\04-R&amp;D\RACINE\Projet\04-Production\Analyse_instrumention_20250808.xlsx" TargetMode="External"/><Relationship Id="rId1" Type="http://schemas.openxmlformats.org/officeDocument/2006/relationships/externalLinkPath" Target="/Users/tangi/kDrive/Common%20documents/Surya/04-R&amp;D/RACINE/Projet/04-Production/Analyse_instrumention_202508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ueil"/>
      <sheetName val="Synthèse"/>
      <sheetName val="Analyses"/>
      <sheetName val="2507-Ecole_Felix_Chevrier_Fursa"/>
      <sheetName val="datas_moy"/>
    </sheetNames>
    <sheetDataSet>
      <sheetData sheetId="0"/>
      <sheetData sheetId="1">
        <row r="6">
          <cell r="B6">
            <v>45818.583333333336</v>
          </cell>
        </row>
        <row r="8">
          <cell r="B8">
            <v>45865.375</v>
          </cell>
        </row>
      </sheetData>
      <sheetData sheetId="2"/>
      <sheetData sheetId="3"/>
      <sheetData sheetId="4">
        <row r="2">
          <cell r="K2">
            <v>45824</v>
          </cell>
          <cell r="L2">
            <v>45839</v>
          </cell>
        </row>
      </sheetData>
    </sheetDataSet>
  </externalBook>
</externalLink>
</file>

<file path=xl/theme/theme1.xml><?xml version="1.0" encoding="utf-8"?>
<a:theme xmlns:a="http://schemas.openxmlformats.org/drawingml/2006/main" name="Thème Office">
  <a:themeElements>
    <a:clrScheme name="Personnalisé 2">
      <a:dk1>
        <a:sysClr val="windowText" lastClr="000000"/>
      </a:dk1>
      <a:lt1>
        <a:sysClr val="window" lastClr="FFFFFF"/>
      </a:lt1>
      <a:dk2>
        <a:srgbClr val="1F497D"/>
      </a:dk2>
      <a:lt2>
        <a:srgbClr val="EEECE1"/>
      </a:lt2>
      <a:accent1>
        <a:srgbClr val="FCBF18"/>
      </a:accent1>
      <a:accent2>
        <a:srgbClr val="125A3A"/>
      </a:accent2>
      <a:accent3>
        <a:srgbClr val="A5A5A5"/>
      </a:accent3>
      <a:accent4>
        <a:srgbClr val="FEE599"/>
      </a:accent4>
      <a:accent5>
        <a:srgbClr val="BDE295"/>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9A21-4104-4D4F-AAFE-42F097E4924E}">
  <dimension ref="A2:O15"/>
  <sheetViews>
    <sheetView tabSelected="1" workbookViewId="0">
      <selection activeCell="G17" sqref="G17"/>
    </sheetView>
  </sheetViews>
  <sheetFormatPr baseColWidth="10" defaultColWidth="11.5546875" defaultRowHeight="14.4" x14ac:dyDescent="0.3"/>
  <cols>
    <col min="1" max="1" width="2.33203125" style="11" customWidth="1"/>
    <col min="2" max="2" width="2.6640625" style="11" customWidth="1"/>
    <col min="3" max="3" width="5.6640625" style="11" customWidth="1"/>
    <col min="4" max="4" width="19.6640625" style="11" customWidth="1"/>
    <col min="5" max="5" width="9.6640625" style="11" customWidth="1"/>
    <col min="6" max="6" width="9" style="11" customWidth="1"/>
    <col min="7" max="7" width="33.109375" style="11" customWidth="1"/>
    <col min="8" max="8" width="9.6640625" style="11" customWidth="1"/>
    <col min="9" max="10" width="2.6640625" style="11" customWidth="1"/>
    <col min="11" max="16384" width="11.5546875" style="11"/>
  </cols>
  <sheetData>
    <row r="2" spans="1:15" ht="48" customHeight="1" x14ac:dyDescent="0.3"/>
    <row r="3" spans="1:15" x14ac:dyDescent="0.3">
      <c r="A3" s="12"/>
      <c r="B3" s="12"/>
      <c r="C3" s="12"/>
      <c r="D3" s="12"/>
      <c r="E3" s="12"/>
      <c r="F3" s="12"/>
      <c r="G3" s="12"/>
      <c r="H3" s="12"/>
      <c r="I3" s="12"/>
      <c r="J3" s="12"/>
    </row>
    <row r="4" spans="1:15" x14ac:dyDescent="0.3">
      <c r="A4" s="12"/>
      <c r="B4" s="13"/>
      <c r="C4" s="14"/>
      <c r="D4" s="14"/>
      <c r="E4" s="14"/>
      <c r="F4" s="14"/>
      <c r="G4" s="14"/>
      <c r="H4" s="14"/>
      <c r="I4" s="14"/>
      <c r="J4" s="14"/>
    </row>
    <row r="5" spans="1:15" ht="28.95" customHeight="1" x14ac:dyDescent="0.3">
      <c r="A5" s="12"/>
      <c r="B5" s="13"/>
      <c r="C5" s="88" t="s">
        <v>122</v>
      </c>
      <c r="D5" s="88"/>
      <c r="E5" s="88"/>
      <c r="F5" s="88"/>
      <c r="G5" s="88"/>
      <c r="H5" s="88"/>
      <c r="I5" s="88"/>
      <c r="J5" s="15"/>
    </row>
    <row r="6" spans="1:15" x14ac:dyDescent="0.3">
      <c r="A6" s="12"/>
      <c r="B6" s="14"/>
      <c r="C6" s="14"/>
      <c r="D6" s="14"/>
      <c r="E6" s="14"/>
      <c r="F6" s="14"/>
      <c r="G6" s="14"/>
      <c r="H6" s="14"/>
      <c r="I6" s="14"/>
      <c r="J6" s="14"/>
    </row>
    <row r="8" spans="1:15" x14ac:dyDescent="0.3">
      <c r="B8" s="13"/>
      <c r="C8" s="14"/>
      <c r="D8" s="14"/>
      <c r="E8" s="14"/>
      <c r="F8" s="14"/>
      <c r="G8" s="14"/>
      <c r="H8" s="14"/>
      <c r="I8" s="14"/>
      <c r="J8" s="14"/>
    </row>
    <row r="9" spans="1:15" ht="144.6" customHeight="1" x14ac:dyDescent="0.3">
      <c r="B9" s="13"/>
      <c r="C9" s="89" t="s">
        <v>123</v>
      </c>
      <c r="D9" s="89"/>
      <c r="E9" s="89"/>
      <c r="F9" s="89"/>
      <c r="G9" s="89"/>
      <c r="H9" s="89"/>
      <c r="I9" s="89"/>
      <c r="J9" s="15"/>
    </row>
    <row r="10" spans="1:15" x14ac:dyDescent="0.3">
      <c r="B10" s="14"/>
      <c r="C10" s="14"/>
      <c r="D10" s="14"/>
      <c r="E10" s="14"/>
      <c r="F10" s="14"/>
      <c r="G10" s="14"/>
      <c r="H10" s="14"/>
      <c r="I10" s="14"/>
      <c r="J10" s="14"/>
      <c r="O10" s="16"/>
    </row>
    <row r="12" spans="1:15" x14ac:dyDescent="0.3">
      <c r="A12" s="12"/>
      <c r="B12" s="13"/>
      <c r="C12" s="14"/>
      <c r="D12" s="14"/>
      <c r="E12" s="14"/>
      <c r="F12" s="14"/>
      <c r="G12" s="14"/>
      <c r="H12" s="14"/>
      <c r="I12" s="14"/>
      <c r="J12" s="14"/>
    </row>
    <row r="13" spans="1:15" ht="28.95" customHeight="1" x14ac:dyDescent="0.3">
      <c r="A13" s="12"/>
      <c r="B13" s="13"/>
      <c r="D13" s="69" t="s">
        <v>150</v>
      </c>
      <c r="G13" s="71">
        <v>46044</v>
      </c>
      <c r="H13" s="69"/>
      <c r="I13" s="69"/>
      <c r="J13" s="15"/>
    </row>
    <row r="14" spans="1:15" ht="28.95" customHeight="1" x14ac:dyDescent="0.3">
      <c r="A14" s="12"/>
      <c r="B14" s="13"/>
      <c r="D14" s="69" t="s">
        <v>151</v>
      </c>
      <c r="F14" s="70"/>
      <c r="G14" s="71" t="s">
        <v>154</v>
      </c>
      <c r="H14" s="69"/>
      <c r="I14" s="69"/>
      <c r="J14" s="15"/>
    </row>
    <row r="15" spans="1:15" x14ac:dyDescent="0.3">
      <c r="A15" s="12"/>
      <c r="B15" s="14"/>
      <c r="C15" s="14"/>
      <c r="D15" s="14"/>
      <c r="E15" s="14"/>
      <c r="F15" s="14"/>
      <c r="G15" s="14"/>
      <c r="H15" s="14"/>
      <c r="I15" s="14"/>
      <c r="J15" s="14"/>
    </row>
  </sheetData>
  <sheetProtection algorithmName="SHA-512" hashValue="bg8863Rlbnr9HAen5Fh2nB2O6TppLVx2YrXuDAylKRo3NuK9BTTlY71gvL2kPW+lNORZWHv1RaIT236pbSMqDg==" saltValue="q6FHYKklj1Kqw5n9m1ayoA==" spinCount="100000" sheet="1" objects="1" scenarios="1" selectLockedCells="1" selectUnlockedCells="1"/>
  <mergeCells count="2">
    <mergeCell ref="C5:I5"/>
    <mergeCell ref="C9:I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9AC1-BEB8-4B72-9771-E602CB4D295E}">
  <dimension ref="A1:AF62"/>
  <sheetViews>
    <sheetView zoomScale="70" zoomScaleNormal="70" workbookViewId="0">
      <selection activeCell="D12" sqref="D12"/>
    </sheetView>
  </sheetViews>
  <sheetFormatPr baseColWidth="10" defaultColWidth="11.5546875" defaultRowHeight="14.4" x14ac:dyDescent="0.3"/>
  <cols>
    <col min="1" max="1" width="13.88671875" style="1" bestFit="1" customWidth="1"/>
    <col min="2" max="2" width="21.109375" style="1" bestFit="1" customWidth="1"/>
    <col min="3" max="3" width="26.5546875" style="1" bestFit="1" customWidth="1"/>
    <col min="4" max="4" width="12.33203125" style="2" customWidth="1"/>
    <col min="5" max="5" width="17.5546875" style="2" customWidth="1"/>
    <col min="6" max="8" width="12.33203125" style="2" customWidth="1"/>
    <col min="9" max="15" width="12.33203125" style="1" customWidth="1"/>
    <col min="16" max="16" width="12.88671875" style="1" customWidth="1"/>
    <col min="17" max="18" width="12.33203125" style="1" customWidth="1"/>
    <col min="19" max="20" width="18" style="1" customWidth="1"/>
    <col min="21" max="26" width="12.33203125" style="1" customWidth="1"/>
    <col min="27" max="27" width="14" style="1" customWidth="1"/>
    <col min="28" max="29" width="12.33203125" style="1" customWidth="1"/>
    <col min="30" max="31" width="18" style="1" customWidth="1"/>
    <col min="32" max="16384" width="11.5546875" style="1"/>
  </cols>
  <sheetData>
    <row r="1" spans="1:32" ht="18.600000000000001" thickBot="1" x14ac:dyDescent="0.4">
      <c r="J1" s="85" t="s">
        <v>0</v>
      </c>
      <c r="K1" s="86"/>
      <c r="L1" s="86"/>
      <c r="M1" s="86"/>
      <c r="N1" s="86"/>
      <c r="O1" s="86"/>
      <c r="P1" s="86"/>
      <c r="Q1" s="86"/>
      <c r="R1" s="86"/>
      <c r="S1" s="86"/>
      <c r="T1" s="87"/>
      <c r="U1" s="72" t="s">
        <v>1</v>
      </c>
      <c r="V1" s="73"/>
      <c r="W1" s="73"/>
      <c r="X1" s="73"/>
      <c r="Y1" s="73"/>
      <c r="Z1" s="73"/>
      <c r="AA1" s="73"/>
      <c r="AB1" s="73"/>
      <c r="AC1" s="73"/>
      <c r="AD1" s="73"/>
      <c r="AE1" s="74"/>
    </row>
    <row r="2" spans="1:32" s="3" customFormat="1" ht="15" thickBot="1" x14ac:dyDescent="0.35">
      <c r="D2" s="4"/>
      <c r="E2" s="4"/>
      <c r="F2" s="4"/>
      <c r="G2" s="4"/>
      <c r="H2" s="4"/>
      <c r="J2" s="18"/>
      <c r="K2" s="17"/>
      <c r="L2" s="17"/>
      <c r="M2" s="75" t="s">
        <v>2</v>
      </c>
      <c r="N2" s="76"/>
      <c r="O2" s="76"/>
      <c r="P2" s="76"/>
      <c r="Q2" s="77" t="s">
        <v>3</v>
      </c>
      <c r="R2" s="78"/>
      <c r="S2" s="75" t="s">
        <v>121</v>
      </c>
      <c r="T2" s="79"/>
      <c r="U2" s="19"/>
      <c r="V2" s="68"/>
      <c r="W2" s="68"/>
      <c r="X2" s="80" t="s">
        <v>2</v>
      </c>
      <c r="Y2" s="81"/>
      <c r="Z2" s="81"/>
      <c r="AA2" s="81"/>
      <c r="AB2" s="82" t="s">
        <v>3</v>
      </c>
      <c r="AC2" s="83"/>
      <c r="AD2" s="80" t="s">
        <v>121</v>
      </c>
      <c r="AE2" s="84"/>
    </row>
    <row r="3" spans="1:32" s="5" customFormat="1" ht="65.400000000000006" customHeight="1" thickBot="1" x14ac:dyDescent="0.35">
      <c r="A3" s="20" t="s">
        <v>4</v>
      </c>
      <c r="B3" s="20" t="s">
        <v>5</v>
      </c>
      <c r="C3" s="20" t="s">
        <v>6</v>
      </c>
      <c r="D3" s="21" t="s">
        <v>7</v>
      </c>
      <c r="E3" s="22" t="s">
        <v>124</v>
      </c>
      <c r="F3" s="22" t="s">
        <v>8</v>
      </c>
      <c r="G3" s="22" t="s">
        <v>9</v>
      </c>
      <c r="H3" s="22" t="s">
        <v>126</v>
      </c>
      <c r="I3" s="20" t="s">
        <v>10</v>
      </c>
      <c r="J3" s="23" t="s">
        <v>128</v>
      </c>
      <c r="K3" s="24" t="s">
        <v>129</v>
      </c>
      <c r="L3" s="24" t="s">
        <v>130</v>
      </c>
      <c r="M3" s="25" t="s">
        <v>131</v>
      </c>
      <c r="N3" s="26" t="s">
        <v>132</v>
      </c>
      <c r="O3" s="26" t="s">
        <v>133</v>
      </c>
      <c r="P3" s="26" t="s">
        <v>134</v>
      </c>
      <c r="Q3" s="23" t="s">
        <v>135</v>
      </c>
      <c r="R3" s="24" t="s">
        <v>136</v>
      </c>
      <c r="S3" s="25" t="s">
        <v>137</v>
      </c>
      <c r="T3" s="26" t="s">
        <v>138</v>
      </c>
      <c r="U3" s="27" t="s">
        <v>139</v>
      </c>
      <c r="V3" s="28" t="s">
        <v>140</v>
      </c>
      <c r="W3" s="28" t="s">
        <v>141</v>
      </c>
      <c r="X3" s="29" t="s">
        <v>142</v>
      </c>
      <c r="Y3" s="30" t="s">
        <v>143</v>
      </c>
      <c r="Z3" s="30" t="s">
        <v>145</v>
      </c>
      <c r="AA3" s="30" t="s">
        <v>144</v>
      </c>
      <c r="AB3" s="27" t="s">
        <v>146</v>
      </c>
      <c r="AC3" s="28" t="s">
        <v>147</v>
      </c>
      <c r="AD3" s="29" t="s">
        <v>148</v>
      </c>
      <c r="AE3" s="31" t="s">
        <v>149</v>
      </c>
    </row>
    <row r="4" spans="1:32" s="6" customFormat="1" x14ac:dyDescent="0.3">
      <c r="A4" s="32" t="s">
        <v>63</v>
      </c>
      <c r="B4" s="33" t="s">
        <v>64</v>
      </c>
      <c r="C4" s="34" t="s">
        <v>65</v>
      </c>
      <c r="D4" s="35">
        <v>132</v>
      </c>
      <c r="E4" s="36">
        <v>30</v>
      </c>
      <c r="F4" s="36">
        <v>220</v>
      </c>
      <c r="G4" s="33">
        <v>0.22727272727272727</v>
      </c>
      <c r="H4" s="33" t="s">
        <v>127</v>
      </c>
      <c r="I4" s="33" t="s">
        <v>29</v>
      </c>
      <c r="J4" s="35">
        <v>95</v>
      </c>
      <c r="K4" s="36">
        <v>14</v>
      </c>
      <c r="L4" s="37">
        <v>24</v>
      </c>
      <c r="M4" s="38">
        <v>0.28959591742055102</v>
      </c>
      <c r="N4" s="33">
        <v>0.26509487357921502</v>
      </c>
      <c r="O4" s="33">
        <v>1.55</v>
      </c>
      <c r="P4" s="33">
        <v>1.74</v>
      </c>
      <c r="Q4" s="38">
        <v>0.32760929246523501</v>
      </c>
      <c r="R4" s="33">
        <v>1.77</v>
      </c>
      <c r="S4" s="33">
        <v>0.32776009730503697</v>
      </c>
      <c r="T4" s="33">
        <v>1.7850000000000001</v>
      </c>
      <c r="U4" s="35">
        <v>199</v>
      </c>
      <c r="V4" s="36">
        <v>55</v>
      </c>
      <c r="W4" s="37">
        <v>37.6</v>
      </c>
      <c r="X4" s="38">
        <v>0.62935143918291503</v>
      </c>
      <c r="Y4" s="33">
        <v>0.59671425255338795</v>
      </c>
      <c r="Z4" s="33">
        <v>2.86</v>
      </c>
      <c r="AA4" s="33">
        <v>3.53</v>
      </c>
      <c r="AB4" s="38">
        <v>0.73238588631678403</v>
      </c>
      <c r="AC4" s="33">
        <v>3.09</v>
      </c>
      <c r="AD4" s="38">
        <v>0.7327176273463275</v>
      </c>
      <c r="AE4" s="39">
        <v>3.09</v>
      </c>
      <c r="AF4" s="6" t="e">
        <f>#REF!-#REF!</f>
        <v>#REF!</v>
      </c>
    </row>
    <row r="5" spans="1:32" s="6" customFormat="1" x14ac:dyDescent="0.3">
      <c r="A5" s="40" t="s">
        <v>69</v>
      </c>
      <c r="B5" s="41" t="s">
        <v>67</v>
      </c>
      <c r="C5" s="42" t="s">
        <v>68</v>
      </c>
      <c r="D5" s="43">
        <v>132</v>
      </c>
      <c r="E5" s="44">
        <v>34</v>
      </c>
      <c r="F5" s="44">
        <v>216</v>
      </c>
      <c r="G5" s="41">
        <v>0.25757575757575757</v>
      </c>
      <c r="H5" s="41" t="s">
        <v>127</v>
      </c>
      <c r="I5" s="41" t="s">
        <v>29</v>
      </c>
      <c r="J5" s="43">
        <v>71</v>
      </c>
      <c r="K5" s="44">
        <v>15</v>
      </c>
      <c r="L5" s="45">
        <v>22</v>
      </c>
      <c r="M5" s="46">
        <v>0.52653933705584</v>
      </c>
      <c r="N5" s="41">
        <v>0.59102542991147</v>
      </c>
      <c r="O5" s="41">
        <v>2.58</v>
      </c>
      <c r="P5" s="41">
        <v>3.51</v>
      </c>
      <c r="Q5" s="46">
        <v>0.32786562214639903</v>
      </c>
      <c r="R5" s="41">
        <v>1.77</v>
      </c>
      <c r="S5" s="41">
        <v>0.35295660556229802</v>
      </c>
      <c r="T5" s="41">
        <v>1.89</v>
      </c>
      <c r="U5" s="43">
        <v>158</v>
      </c>
      <c r="V5" s="44">
        <v>65</v>
      </c>
      <c r="W5" s="45">
        <v>42.1</v>
      </c>
      <c r="X5" s="46">
        <v>1.2248093358450101</v>
      </c>
      <c r="Y5" s="41">
        <v>1.3937334896440801</v>
      </c>
      <c r="Z5" s="41">
        <v>3.8</v>
      </c>
      <c r="AA5" s="41">
        <v>5.0199999999999996</v>
      </c>
      <c r="AB5" s="46">
        <v>0.74218682456825502</v>
      </c>
      <c r="AC5" s="41">
        <v>3.11</v>
      </c>
      <c r="AD5" s="46">
        <v>0.79501235147787597</v>
      </c>
      <c r="AE5" s="47">
        <v>3.21</v>
      </c>
    </row>
    <row r="6" spans="1:32" s="7" customFormat="1" x14ac:dyDescent="0.3">
      <c r="A6" s="48" t="s">
        <v>70</v>
      </c>
      <c r="B6" s="49" t="s">
        <v>67</v>
      </c>
      <c r="C6" s="50" t="s">
        <v>71</v>
      </c>
      <c r="D6" s="51">
        <v>112</v>
      </c>
      <c r="E6" s="52">
        <v>21</v>
      </c>
      <c r="F6" s="52">
        <v>229</v>
      </c>
      <c r="G6" s="49">
        <v>0.1875</v>
      </c>
      <c r="H6" s="49" t="s">
        <v>127</v>
      </c>
      <c r="I6" s="49" t="s">
        <v>29</v>
      </c>
      <c r="J6" s="51">
        <v>135</v>
      </c>
      <c r="K6" s="52">
        <v>15</v>
      </c>
      <c r="L6" s="53">
        <v>34.200000000000003</v>
      </c>
      <c r="M6" s="48">
        <v>0.42462751910444102</v>
      </c>
      <c r="N6" s="49">
        <v>0.53389123340889</v>
      </c>
      <c r="O6" s="49">
        <v>2.23</v>
      </c>
      <c r="P6" s="49">
        <v>3.3</v>
      </c>
      <c r="Q6" s="48">
        <v>0.28966257876886198</v>
      </c>
      <c r="R6" s="49">
        <v>1.55</v>
      </c>
      <c r="S6" s="49">
        <v>0.32543977774583399</v>
      </c>
      <c r="T6" s="49">
        <v>1.76</v>
      </c>
      <c r="U6" s="51">
        <v>241</v>
      </c>
      <c r="V6" s="52">
        <v>62</v>
      </c>
      <c r="W6" s="53">
        <v>52.6</v>
      </c>
      <c r="X6" s="48">
        <v>0.79697014731429505</v>
      </c>
      <c r="Y6" s="49">
        <v>1.09405265753893</v>
      </c>
      <c r="Z6" s="49">
        <v>3.21</v>
      </c>
      <c r="AA6" s="49">
        <v>4.63</v>
      </c>
      <c r="AB6" s="48">
        <v>0.55869183384107701</v>
      </c>
      <c r="AC6" s="49">
        <v>2.68</v>
      </c>
      <c r="AD6" s="48">
        <v>0.61535525470085495</v>
      </c>
      <c r="AE6" s="54">
        <v>2.8250000000000002</v>
      </c>
    </row>
    <row r="7" spans="1:32" s="8" customFormat="1" x14ac:dyDescent="0.3">
      <c r="A7" s="55" t="s">
        <v>72</v>
      </c>
      <c r="B7" s="42" t="s">
        <v>67</v>
      </c>
      <c r="C7" s="42" t="s">
        <v>71</v>
      </c>
      <c r="D7" s="56">
        <v>132</v>
      </c>
      <c r="E7" s="57">
        <v>21</v>
      </c>
      <c r="F7" s="57">
        <v>229</v>
      </c>
      <c r="G7" s="42">
        <v>0.15909090909090909</v>
      </c>
      <c r="H7" s="41" t="s">
        <v>127</v>
      </c>
      <c r="I7" s="42" t="s">
        <v>29</v>
      </c>
      <c r="J7" s="56">
        <v>94</v>
      </c>
      <c r="K7" s="57">
        <v>14</v>
      </c>
      <c r="L7" s="58">
        <v>27.2</v>
      </c>
      <c r="M7" s="55">
        <v>0.23011013828087001</v>
      </c>
      <c r="N7" s="42">
        <v>0.291832951150024</v>
      </c>
      <c r="O7" s="42">
        <v>1.1000000000000001</v>
      </c>
      <c r="P7" s="42">
        <v>1.97</v>
      </c>
      <c r="Q7" s="55">
        <v>0.40533864993442598</v>
      </c>
      <c r="R7" s="42">
        <v>2.15</v>
      </c>
      <c r="S7" s="42">
        <v>0.4070179333767065</v>
      </c>
      <c r="T7" s="42">
        <v>2.1349999999999998</v>
      </c>
      <c r="U7" s="56">
        <v>185</v>
      </c>
      <c r="V7" s="57">
        <v>66</v>
      </c>
      <c r="W7" s="58">
        <v>49.9</v>
      </c>
      <c r="X7" s="55">
        <v>0.304301237656251</v>
      </c>
      <c r="Y7" s="42">
        <v>0.39447000054046</v>
      </c>
      <c r="Z7" s="42">
        <v>1.64</v>
      </c>
      <c r="AA7" s="42">
        <v>2.66</v>
      </c>
      <c r="AB7" s="55">
        <v>0.58905656260453498</v>
      </c>
      <c r="AC7" s="42">
        <v>2.76</v>
      </c>
      <c r="AD7" s="55">
        <v>0.59011279329463506</v>
      </c>
      <c r="AE7" s="59">
        <v>2.7650000000000001</v>
      </c>
    </row>
    <row r="8" spans="1:32" s="7" customFormat="1" x14ac:dyDescent="0.3">
      <c r="A8" s="60" t="s">
        <v>66</v>
      </c>
      <c r="B8" s="50" t="s">
        <v>67</v>
      </c>
      <c r="C8" s="50" t="s">
        <v>68</v>
      </c>
      <c r="D8" s="61">
        <v>132</v>
      </c>
      <c r="E8" s="62">
        <v>19</v>
      </c>
      <c r="F8" s="62">
        <v>231</v>
      </c>
      <c r="G8" s="50">
        <v>0.14393939393939395</v>
      </c>
      <c r="H8" s="49" t="s">
        <v>125</v>
      </c>
      <c r="I8" s="50" t="s">
        <v>29</v>
      </c>
      <c r="J8" s="61">
        <v>76</v>
      </c>
      <c r="K8" s="62">
        <v>16</v>
      </c>
      <c r="L8" s="63">
        <v>27.2</v>
      </c>
      <c r="M8" s="60">
        <v>0.22510228831458801</v>
      </c>
      <c r="N8" s="50">
        <v>0.22738827794102301</v>
      </c>
      <c r="O8" s="50">
        <v>1.06</v>
      </c>
      <c r="P8" s="50">
        <v>1.36</v>
      </c>
      <c r="Q8" s="60">
        <v>0.179635967412582</v>
      </c>
      <c r="R8" s="50">
        <v>0.59</v>
      </c>
      <c r="S8" s="50">
        <v>0.20016405793915251</v>
      </c>
      <c r="T8" s="50">
        <v>0.82</v>
      </c>
      <c r="U8" s="61">
        <v>161</v>
      </c>
      <c r="V8" s="62">
        <v>69</v>
      </c>
      <c r="W8" s="63">
        <v>45.7</v>
      </c>
      <c r="X8" s="60">
        <v>0.56800756667130503</v>
      </c>
      <c r="Y8" s="50">
        <v>0.56822153985514501</v>
      </c>
      <c r="Z8" s="50">
        <v>2.7</v>
      </c>
      <c r="AA8" s="50">
        <v>3.43</v>
      </c>
      <c r="AB8" s="60">
        <v>0.41362824261823899</v>
      </c>
      <c r="AC8" s="50">
        <v>2.1800000000000002</v>
      </c>
      <c r="AD8" s="60">
        <v>0.42800756766834103</v>
      </c>
      <c r="AE8" s="64">
        <v>2.23</v>
      </c>
    </row>
    <row r="9" spans="1:32" s="7" customFormat="1" x14ac:dyDescent="0.3">
      <c r="A9" s="40" t="s">
        <v>47</v>
      </c>
      <c r="B9" s="41" t="s">
        <v>40</v>
      </c>
      <c r="C9" s="42" t="s">
        <v>48</v>
      </c>
      <c r="D9" s="43">
        <v>132</v>
      </c>
      <c r="E9" s="44">
        <v>35</v>
      </c>
      <c r="F9" s="44">
        <v>215</v>
      </c>
      <c r="G9" s="41">
        <v>0.26515151515151514</v>
      </c>
      <c r="H9" s="41" t="s">
        <v>127</v>
      </c>
      <c r="I9" s="41" t="s">
        <v>29</v>
      </c>
      <c r="J9" s="43">
        <v>113</v>
      </c>
      <c r="K9" s="44">
        <v>29</v>
      </c>
      <c r="L9" s="45">
        <v>31.2</v>
      </c>
      <c r="M9" s="46">
        <v>0.83340018100771396</v>
      </c>
      <c r="N9" s="41">
        <v>0.913699089698355</v>
      </c>
      <c r="O9" s="41">
        <v>3.28</v>
      </c>
      <c r="P9" s="41">
        <v>4.32</v>
      </c>
      <c r="Q9" s="46">
        <v>0.50523679354878803</v>
      </c>
      <c r="R9" s="41">
        <v>2.52</v>
      </c>
      <c r="S9" s="41">
        <v>0.54553131234803409</v>
      </c>
      <c r="T9" s="41">
        <v>2.6349999999999998</v>
      </c>
      <c r="U9" s="43">
        <v>168</v>
      </c>
      <c r="V9" s="44">
        <v>68</v>
      </c>
      <c r="W9" s="45">
        <v>39.5</v>
      </c>
      <c r="X9" s="46">
        <v>1.1690906497368601</v>
      </c>
      <c r="Y9" s="41">
        <v>1.3867910676873101</v>
      </c>
      <c r="Z9" s="41">
        <v>3.74</v>
      </c>
      <c r="AA9" s="41">
        <v>5.0199999999999996</v>
      </c>
      <c r="AB9" s="46">
        <v>0.77051426665939804</v>
      </c>
      <c r="AC9" s="41">
        <v>3.17</v>
      </c>
      <c r="AD9" s="46">
        <v>0.82792222792255199</v>
      </c>
      <c r="AE9" s="47">
        <v>3.2750000000000004</v>
      </c>
    </row>
    <row r="10" spans="1:32" s="7" customFormat="1" x14ac:dyDescent="0.3">
      <c r="A10" s="65" t="s">
        <v>42</v>
      </c>
      <c r="B10" s="49" t="s">
        <v>40</v>
      </c>
      <c r="C10" s="50" t="s">
        <v>43</v>
      </c>
      <c r="D10" s="51">
        <v>152</v>
      </c>
      <c r="E10" s="52">
        <v>47</v>
      </c>
      <c r="F10" s="52">
        <v>203</v>
      </c>
      <c r="G10" s="49">
        <v>0.30921052631578949</v>
      </c>
      <c r="H10" s="49" t="s">
        <v>127</v>
      </c>
      <c r="I10" s="49" t="s">
        <v>14</v>
      </c>
      <c r="J10" s="51">
        <v>81</v>
      </c>
      <c r="K10" s="52">
        <v>5</v>
      </c>
      <c r="L10" s="53">
        <v>21.2</v>
      </c>
      <c r="M10" s="48">
        <v>0.71514292850009797</v>
      </c>
      <c r="N10" s="49">
        <v>0.81859085093900497</v>
      </c>
      <c r="O10" s="49">
        <v>3.06</v>
      </c>
      <c r="P10" s="49">
        <v>4.13</v>
      </c>
      <c r="Q10" s="48">
        <v>0.49291940032665998</v>
      </c>
      <c r="R10" s="49">
        <v>2.48</v>
      </c>
      <c r="S10" s="49">
        <v>0.53518796325270701</v>
      </c>
      <c r="T10" s="49">
        <v>2.605</v>
      </c>
      <c r="U10" s="51">
        <v>168</v>
      </c>
      <c r="V10" s="52">
        <v>37</v>
      </c>
      <c r="W10" s="53">
        <v>42.2</v>
      </c>
      <c r="X10" s="48">
        <v>1.53758032051201</v>
      </c>
      <c r="Y10" s="49">
        <v>1.7645930961018601</v>
      </c>
      <c r="Z10" s="49">
        <v>4.09</v>
      </c>
      <c r="AA10" s="49">
        <v>5.38</v>
      </c>
      <c r="AB10" s="48">
        <v>1.04260037495599</v>
      </c>
      <c r="AC10" s="49">
        <v>3.59</v>
      </c>
      <c r="AD10" s="48">
        <v>1.13702414248837</v>
      </c>
      <c r="AE10" s="54">
        <v>3.7</v>
      </c>
    </row>
    <row r="11" spans="1:32" s="7" customFormat="1" x14ac:dyDescent="0.3">
      <c r="A11" s="40" t="s">
        <v>44</v>
      </c>
      <c r="B11" s="41" t="s">
        <v>40</v>
      </c>
      <c r="C11" s="42" t="s">
        <v>45</v>
      </c>
      <c r="D11" s="43">
        <v>132</v>
      </c>
      <c r="E11" s="44">
        <v>46.5</v>
      </c>
      <c r="F11" s="44">
        <v>203.5</v>
      </c>
      <c r="G11" s="41">
        <v>0.35227272727272729</v>
      </c>
      <c r="H11" s="41" t="s">
        <v>127</v>
      </c>
      <c r="I11" s="41" t="s">
        <v>14</v>
      </c>
      <c r="J11" s="43">
        <v>83</v>
      </c>
      <c r="K11" s="44">
        <v>3</v>
      </c>
      <c r="L11" s="45">
        <v>23.4</v>
      </c>
      <c r="M11" s="46">
        <v>0.58956743544594903</v>
      </c>
      <c r="N11" s="41">
        <v>0.698716150962717</v>
      </c>
      <c r="O11" s="41">
        <v>2.76</v>
      </c>
      <c r="P11" s="41">
        <v>3.83</v>
      </c>
      <c r="Q11" s="46">
        <v>0.36007874075289498</v>
      </c>
      <c r="R11" s="41">
        <v>1.94</v>
      </c>
      <c r="S11" s="41">
        <v>0.38742098002569203</v>
      </c>
      <c r="T11" s="41">
        <v>2.06</v>
      </c>
      <c r="U11" s="43">
        <v>199</v>
      </c>
      <c r="V11" s="44">
        <v>34</v>
      </c>
      <c r="W11" s="45">
        <v>45.1</v>
      </c>
      <c r="X11" s="46">
        <v>1.3930616453634601</v>
      </c>
      <c r="Y11" s="41">
        <v>1.7541309790672901</v>
      </c>
      <c r="Z11" s="41">
        <v>3.96</v>
      </c>
      <c r="AA11" s="41">
        <v>5.37</v>
      </c>
      <c r="AB11" s="46">
        <v>0.898203672943928</v>
      </c>
      <c r="AC11" s="41">
        <v>3.38</v>
      </c>
      <c r="AD11" s="46">
        <v>0.96589627583338244</v>
      </c>
      <c r="AE11" s="47">
        <v>3.48</v>
      </c>
    </row>
    <row r="12" spans="1:32" s="7" customFormat="1" x14ac:dyDescent="0.3">
      <c r="A12" s="65" t="s">
        <v>39</v>
      </c>
      <c r="B12" s="49" t="s">
        <v>40</v>
      </c>
      <c r="C12" s="50" t="s">
        <v>41</v>
      </c>
      <c r="D12" s="51">
        <v>132</v>
      </c>
      <c r="E12" s="52">
        <v>24</v>
      </c>
      <c r="F12" s="52">
        <v>226</v>
      </c>
      <c r="G12" s="49">
        <v>0.18181818181818182</v>
      </c>
      <c r="H12" s="49" t="s">
        <v>125</v>
      </c>
      <c r="I12" s="49" t="s">
        <v>14</v>
      </c>
      <c r="J12" s="51">
        <v>74</v>
      </c>
      <c r="K12" s="52">
        <v>4</v>
      </c>
      <c r="L12" s="53">
        <v>22</v>
      </c>
      <c r="M12" s="48">
        <v>0.45167455631604098</v>
      </c>
      <c r="N12" s="49">
        <v>0.59694796863866495</v>
      </c>
      <c r="O12" s="49">
        <v>2.33</v>
      </c>
      <c r="P12" s="49">
        <v>3.53</v>
      </c>
      <c r="Q12" s="48">
        <v>0.29474200217908197</v>
      </c>
      <c r="R12" s="49">
        <v>1.58</v>
      </c>
      <c r="S12" s="49">
        <v>0.31943645514292296</v>
      </c>
      <c r="T12" s="49">
        <v>1.73</v>
      </c>
      <c r="U12" s="51">
        <v>138</v>
      </c>
      <c r="V12" s="52">
        <v>13</v>
      </c>
      <c r="W12" s="53">
        <v>33.4</v>
      </c>
      <c r="X12" s="48">
        <v>0.89513641233794805</v>
      </c>
      <c r="Y12" s="49">
        <v>1.2516431265861701</v>
      </c>
      <c r="Z12" s="49">
        <v>3.38</v>
      </c>
      <c r="AA12" s="49">
        <v>4.8499999999999996</v>
      </c>
      <c r="AB12" s="48">
        <v>0.59902274688459201</v>
      </c>
      <c r="AC12" s="49">
        <v>2.79</v>
      </c>
      <c r="AD12" s="48">
        <v>0.64202693436772296</v>
      </c>
      <c r="AE12" s="54">
        <v>2.8849999999999998</v>
      </c>
    </row>
    <row r="13" spans="1:32" s="7" customFormat="1" x14ac:dyDescent="0.3">
      <c r="A13" s="46" t="s">
        <v>46</v>
      </c>
      <c r="B13" s="41" t="s">
        <v>40</v>
      </c>
      <c r="C13" s="42" t="s">
        <v>45</v>
      </c>
      <c r="D13" s="43">
        <v>132</v>
      </c>
      <c r="E13" s="44">
        <v>37</v>
      </c>
      <c r="F13" s="44">
        <v>213</v>
      </c>
      <c r="G13" s="41">
        <v>0.28030303030303028</v>
      </c>
      <c r="H13" s="41" t="s">
        <v>127</v>
      </c>
      <c r="I13" s="41" t="s">
        <v>14</v>
      </c>
      <c r="J13" s="43">
        <v>83</v>
      </c>
      <c r="K13" s="44">
        <v>3</v>
      </c>
      <c r="L13" s="45">
        <v>23.5</v>
      </c>
      <c r="M13" s="46">
        <v>0.55004336894239803</v>
      </c>
      <c r="N13" s="41">
        <v>0.654180747211772</v>
      </c>
      <c r="O13" s="41">
        <v>2.65</v>
      </c>
      <c r="P13" s="41">
        <v>3.71</v>
      </c>
      <c r="Q13" s="46">
        <v>0.36854142199056</v>
      </c>
      <c r="R13" s="41">
        <v>1.98</v>
      </c>
      <c r="S13" s="41">
        <v>0.39469753694856202</v>
      </c>
      <c r="T13" s="41">
        <v>2.105</v>
      </c>
      <c r="U13" s="43">
        <v>200</v>
      </c>
      <c r="V13" s="44">
        <v>28</v>
      </c>
      <c r="W13" s="45">
        <v>43.4</v>
      </c>
      <c r="X13" s="46">
        <v>1.4688277790355699</v>
      </c>
      <c r="Y13" s="41">
        <v>1.6586356733034799</v>
      </c>
      <c r="Z13" s="41">
        <v>4.03</v>
      </c>
      <c r="AA13" s="41">
        <v>5.29</v>
      </c>
      <c r="AB13" s="46">
        <v>0.910107303159295</v>
      </c>
      <c r="AC13" s="41">
        <v>3.4</v>
      </c>
      <c r="AD13" s="46">
        <v>0.98117379929202642</v>
      </c>
      <c r="AE13" s="47">
        <v>3.5049999999999999</v>
      </c>
    </row>
    <row r="14" spans="1:32" s="7" customFormat="1" x14ac:dyDescent="0.3">
      <c r="A14" s="66" t="s">
        <v>102</v>
      </c>
      <c r="B14" s="49" t="s">
        <v>103</v>
      </c>
      <c r="C14" s="50" t="s">
        <v>104</v>
      </c>
      <c r="D14" s="51">
        <v>162</v>
      </c>
      <c r="E14" s="52">
        <v>34</v>
      </c>
      <c r="F14" s="52">
        <v>216</v>
      </c>
      <c r="G14" s="49">
        <v>0.20987654320987653</v>
      </c>
      <c r="H14" s="49" t="s">
        <v>127</v>
      </c>
      <c r="I14" s="49" t="s">
        <v>14</v>
      </c>
      <c r="J14" s="51">
        <v>72</v>
      </c>
      <c r="K14" s="52">
        <v>5</v>
      </c>
      <c r="L14" s="53">
        <v>25.8</v>
      </c>
      <c r="M14" s="48">
        <v>0.69075864332868597</v>
      </c>
      <c r="N14" s="49">
        <v>0.77438868398334604</v>
      </c>
      <c r="O14" s="49">
        <v>3</v>
      </c>
      <c r="P14" s="49">
        <v>4.0199999999999996</v>
      </c>
      <c r="Q14" s="48">
        <v>0.44457775104889802</v>
      </c>
      <c r="R14" s="49">
        <v>2.31</v>
      </c>
      <c r="S14" s="49">
        <v>0.486223797197466</v>
      </c>
      <c r="T14" s="49">
        <v>2.4500000000000002</v>
      </c>
      <c r="U14" s="51">
        <v>163</v>
      </c>
      <c r="V14" s="52">
        <v>37</v>
      </c>
      <c r="W14" s="53">
        <v>50.9</v>
      </c>
      <c r="X14" s="48">
        <v>1.5516809864119301</v>
      </c>
      <c r="Y14" s="49">
        <v>1.82851830500913</v>
      </c>
      <c r="Z14" s="49">
        <v>4.0999999999999996</v>
      </c>
      <c r="AA14" s="49">
        <v>5.43</v>
      </c>
      <c r="AB14" s="48">
        <v>1.0099248814697801</v>
      </c>
      <c r="AC14" s="49">
        <v>3.55</v>
      </c>
      <c r="AD14" s="48">
        <v>1.097245419537515</v>
      </c>
      <c r="AE14" s="54">
        <v>3.6550000000000002</v>
      </c>
    </row>
    <row r="15" spans="1:32" s="7" customFormat="1" x14ac:dyDescent="0.3">
      <c r="A15" s="40" t="s">
        <v>17</v>
      </c>
      <c r="B15" s="41" t="s">
        <v>18</v>
      </c>
      <c r="C15" s="42" t="s">
        <v>19</v>
      </c>
      <c r="D15" s="43">
        <v>132</v>
      </c>
      <c r="E15" s="44">
        <v>29.5</v>
      </c>
      <c r="F15" s="44">
        <v>220.5</v>
      </c>
      <c r="G15" s="41">
        <v>0.22348484848484848</v>
      </c>
      <c r="H15" s="41" t="s">
        <v>127</v>
      </c>
      <c r="I15" s="41" t="s">
        <v>14</v>
      </c>
      <c r="J15" s="43">
        <v>35</v>
      </c>
      <c r="K15" s="44">
        <v>3</v>
      </c>
      <c r="L15" s="45">
        <v>21.4</v>
      </c>
      <c r="M15" s="46">
        <v>0.25943742977235701</v>
      </c>
      <c r="N15" s="41">
        <v>0.26562344807349503</v>
      </c>
      <c r="O15" s="41">
        <v>1.34</v>
      </c>
      <c r="P15" s="41">
        <v>1.75</v>
      </c>
      <c r="Q15" s="46">
        <v>0.15575672041775901</v>
      </c>
      <c r="R15" s="41">
        <v>0.28000000000000003</v>
      </c>
      <c r="S15" s="41">
        <v>0.1667425934287165</v>
      </c>
      <c r="T15" s="41">
        <v>0.41000000000000003</v>
      </c>
      <c r="U15" s="43">
        <v>204</v>
      </c>
      <c r="V15" s="44">
        <v>22</v>
      </c>
      <c r="W15" s="45">
        <v>47.4</v>
      </c>
      <c r="X15" s="46">
        <v>1.62143777710214</v>
      </c>
      <c r="Y15" s="41">
        <v>1.8476118423240699</v>
      </c>
      <c r="Z15" s="41">
        <v>4.1500000000000004</v>
      </c>
      <c r="AA15" s="41">
        <v>5.45</v>
      </c>
      <c r="AB15" s="46">
        <v>0.93638130628756</v>
      </c>
      <c r="AC15" s="41">
        <v>3.44</v>
      </c>
      <c r="AD15" s="46">
        <v>1.0110608649035329</v>
      </c>
      <c r="AE15" s="47">
        <v>3.5449999999999999</v>
      </c>
    </row>
    <row r="16" spans="1:32" s="7" customFormat="1" x14ac:dyDescent="0.3">
      <c r="A16" s="65" t="s">
        <v>78</v>
      </c>
      <c r="B16" s="49" t="s">
        <v>74</v>
      </c>
      <c r="C16" s="50" t="s">
        <v>79</v>
      </c>
      <c r="D16" s="51">
        <v>86</v>
      </c>
      <c r="E16" s="52">
        <v>29</v>
      </c>
      <c r="F16" s="52">
        <v>221</v>
      </c>
      <c r="G16" s="49">
        <v>0.33720930232558138</v>
      </c>
      <c r="H16" s="49" t="s">
        <v>127</v>
      </c>
      <c r="I16" s="49" t="s">
        <v>14</v>
      </c>
      <c r="J16" s="51">
        <v>77</v>
      </c>
      <c r="K16" s="52">
        <v>1</v>
      </c>
      <c r="L16" s="53">
        <v>20</v>
      </c>
      <c r="M16" s="48">
        <v>0.27783344750121097</v>
      </c>
      <c r="N16" s="49">
        <v>0.35036723401398701</v>
      </c>
      <c r="O16" s="49">
        <v>1.47</v>
      </c>
      <c r="P16" s="49">
        <v>2.4</v>
      </c>
      <c r="Q16" s="48">
        <v>0.125851341286428</v>
      </c>
      <c r="R16" s="49">
        <v>0</v>
      </c>
      <c r="S16" s="49">
        <v>0.13995983086062203</v>
      </c>
      <c r="T16" s="49">
        <v>0.1</v>
      </c>
      <c r="U16" s="51">
        <v>410</v>
      </c>
      <c r="V16" s="52">
        <v>16</v>
      </c>
      <c r="W16" s="53">
        <v>50.2</v>
      </c>
      <c r="X16" s="48">
        <v>1.7376528633613399</v>
      </c>
      <c r="Y16" s="49">
        <v>2.0966587137050201</v>
      </c>
      <c r="Z16" s="49">
        <v>4.2300000000000004</v>
      </c>
      <c r="AA16" s="49">
        <v>5.63</v>
      </c>
      <c r="AB16" s="48">
        <v>0.79831358106309502</v>
      </c>
      <c r="AC16" s="49">
        <v>3.22</v>
      </c>
      <c r="AD16" s="48">
        <v>0.84929263157810198</v>
      </c>
      <c r="AE16" s="54">
        <v>3.3049999999999997</v>
      </c>
    </row>
    <row r="17" spans="1:31" s="7" customFormat="1" x14ac:dyDescent="0.3">
      <c r="A17" s="40" t="s">
        <v>81</v>
      </c>
      <c r="B17" s="41" t="s">
        <v>74</v>
      </c>
      <c r="C17" s="42" t="s">
        <v>82</v>
      </c>
      <c r="D17" s="43">
        <v>91</v>
      </c>
      <c r="E17" s="44">
        <v>30</v>
      </c>
      <c r="F17" s="44">
        <v>220</v>
      </c>
      <c r="G17" s="41">
        <v>0.32967032967032966</v>
      </c>
      <c r="H17" s="41" t="s">
        <v>127</v>
      </c>
      <c r="I17" s="41" t="s">
        <v>14</v>
      </c>
      <c r="J17" s="43">
        <v>74</v>
      </c>
      <c r="K17" s="44">
        <v>2</v>
      </c>
      <c r="L17" s="45">
        <v>23.4</v>
      </c>
      <c r="M17" s="46">
        <v>0.30805632545351702</v>
      </c>
      <c r="N17" s="41">
        <v>0.48134305717771197</v>
      </c>
      <c r="O17" s="41">
        <v>1.66</v>
      </c>
      <c r="P17" s="41">
        <v>3.09</v>
      </c>
      <c r="Q17" s="46">
        <v>0.242278524608776</v>
      </c>
      <c r="R17" s="41">
        <v>1.2</v>
      </c>
      <c r="S17" s="41">
        <v>0.243903561617722</v>
      </c>
      <c r="T17" s="41">
        <v>1.22</v>
      </c>
      <c r="U17" s="43">
        <v>214</v>
      </c>
      <c r="V17" s="44">
        <v>33</v>
      </c>
      <c r="W17" s="45">
        <v>44.7</v>
      </c>
      <c r="X17" s="46">
        <v>0.98457698649220504</v>
      </c>
      <c r="Y17" s="41">
        <v>1.3777696897095</v>
      </c>
      <c r="Z17" s="41">
        <v>3.51</v>
      </c>
      <c r="AA17" s="41">
        <v>5.01</v>
      </c>
      <c r="AB17" s="46">
        <v>0.74248160163495602</v>
      </c>
      <c r="AC17" s="41">
        <v>3.11</v>
      </c>
      <c r="AD17" s="46">
        <v>0.77844982546275099</v>
      </c>
      <c r="AE17" s="47">
        <v>3.1749999999999998</v>
      </c>
    </row>
    <row r="18" spans="1:31" s="7" customFormat="1" x14ac:dyDescent="0.3">
      <c r="A18" s="65" t="s">
        <v>73</v>
      </c>
      <c r="B18" s="49" t="s">
        <v>74</v>
      </c>
      <c r="C18" s="50" t="s">
        <v>75</v>
      </c>
      <c r="D18" s="51">
        <v>107</v>
      </c>
      <c r="E18" s="52">
        <v>40</v>
      </c>
      <c r="F18" s="52">
        <v>210</v>
      </c>
      <c r="G18" s="49">
        <v>0.37383177570093457</v>
      </c>
      <c r="H18" s="49" t="s">
        <v>127</v>
      </c>
      <c r="I18" s="49" t="s">
        <v>14</v>
      </c>
      <c r="J18" s="51">
        <v>75</v>
      </c>
      <c r="K18" s="52">
        <v>2</v>
      </c>
      <c r="L18" s="53">
        <v>27.3</v>
      </c>
      <c r="M18" s="48">
        <v>0.40553166318719502</v>
      </c>
      <c r="N18" s="49">
        <v>0.79270755498343604</v>
      </c>
      <c r="O18" s="49">
        <v>2.15</v>
      </c>
      <c r="P18" s="49">
        <v>4.07</v>
      </c>
      <c r="Q18" s="48">
        <v>0.395115758809233</v>
      </c>
      <c r="R18" s="49">
        <v>2.1</v>
      </c>
      <c r="S18" s="49">
        <v>0.41109567240735201</v>
      </c>
      <c r="T18" s="49">
        <v>2.17</v>
      </c>
      <c r="U18" s="51">
        <v>212</v>
      </c>
      <c r="V18" s="52">
        <v>43</v>
      </c>
      <c r="W18" s="53">
        <v>44.5</v>
      </c>
      <c r="X18" s="48">
        <v>1.3712026218931801</v>
      </c>
      <c r="Y18" s="49">
        <v>1.8867550056814</v>
      </c>
      <c r="Z18" s="49">
        <v>3.94</v>
      </c>
      <c r="AA18" s="49">
        <v>5.48</v>
      </c>
      <c r="AB18" s="48">
        <v>0.84378847380168398</v>
      </c>
      <c r="AC18" s="49">
        <v>3.3</v>
      </c>
      <c r="AD18" s="48">
        <v>0.90306590792198005</v>
      </c>
      <c r="AE18" s="54">
        <v>3.395</v>
      </c>
    </row>
    <row r="19" spans="1:31" s="7" customFormat="1" x14ac:dyDescent="0.3">
      <c r="A19" s="40" t="s">
        <v>76</v>
      </c>
      <c r="B19" s="41" t="s">
        <v>74</v>
      </c>
      <c r="C19" s="42" t="s">
        <v>77</v>
      </c>
      <c r="D19" s="43">
        <v>71</v>
      </c>
      <c r="E19" s="44">
        <v>26</v>
      </c>
      <c r="F19" s="44">
        <v>224</v>
      </c>
      <c r="G19" s="41">
        <v>0.36619718309859156</v>
      </c>
      <c r="H19" s="41" t="s">
        <v>127</v>
      </c>
      <c r="I19" s="41" t="s">
        <v>14</v>
      </c>
      <c r="J19" s="43">
        <v>118</v>
      </c>
      <c r="K19" s="44">
        <v>2</v>
      </c>
      <c r="L19" s="45">
        <v>20.5</v>
      </c>
      <c r="M19" s="46">
        <v>0.49745329134099198</v>
      </c>
      <c r="N19" s="41">
        <v>0.590157117188019</v>
      </c>
      <c r="O19" s="41">
        <v>2.4900000000000002</v>
      </c>
      <c r="P19" s="41">
        <v>3.51</v>
      </c>
      <c r="Q19" s="46">
        <v>0.29376478432783498</v>
      </c>
      <c r="R19" s="41">
        <v>1.57</v>
      </c>
      <c r="S19" s="41">
        <v>0.3164398582854685</v>
      </c>
      <c r="T19" s="41">
        <v>1.7</v>
      </c>
      <c r="U19" s="43">
        <v>288</v>
      </c>
      <c r="V19" s="44">
        <v>24</v>
      </c>
      <c r="W19" s="45">
        <v>44.2</v>
      </c>
      <c r="X19" s="46">
        <v>1.11756156116727</v>
      </c>
      <c r="Y19" s="41">
        <v>1.4855460903528599</v>
      </c>
      <c r="Z19" s="41">
        <v>3.68</v>
      </c>
      <c r="AA19" s="41">
        <v>5.12</v>
      </c>
      <c r="AB19" s="46">
        <v>0.71691214769679101</v>
      </c>
      <c r="AC19" s="41">
        <v>3.06</v>
      </c>
      <c r="AD19" s="46">
        <v>0.76982364276113957</v>
      </c>
      <c r="AE19" s="47">
        <v>3.165</v>
      </c>
    </row>
    <row r="20" spans="1:31" s="7" customFormat="1" x14ac:dyDescent="0.3">
      <c r="A20" s="65" t="s">
        <v>80</v>
      </c>
      <c r="B20" s="49" t="s">
        <v>74</v>
      </c>
      <c r="C20" s="50" t="s">
        <v>79</v>
      </c>
      <c r="D20" s="51">
        <v>86</v>
      </c>
      <c r="E20" s="52">
        <v>45.5</v>
      </c>
      <c r="F20" s="52">
        <v>204.5</v>
      </c>
      <c r="G20" s="49">
        <v>0.52906976744186052</v>
      </c>
      <c r="H20" s="49" t="s">
        <v>127</v>
      </c>
      <c r="I20" s="49" t="s">
        <v>14</v>
      </c>
      <c r="J20" s="51">
        <v>78</v>
      </c>
      <c r="K20" s="52">
        <v>1</v>
      </c>
      <c r="L20" s="53">
        <v>20.5</v>
      </c>
      <c r="M20" s="48">
        <v>0.33780274807363703</v>
      </c>
      <c r="N20" s="49">
        <v>0.35168536282959101</v>
      </c>
      <c r="O20" s="49">
        <v>1.83</v>
      </c>
      <c r="P20" s="49">
        <v>2.41</v>
      </c>
      <c r="Q20" s="48">
        <v>0.13223160809189499</v>
      </c>
      <c r="R20" s="49">
        <v>0</v>
      </c>
      <c r="S20" s="49">
        <v>0.1449939912299455</v>
      </c>
      <c r="T20" s="49">
        <v>0.125</v>
      </c>
      <c r="U20" s="51">
        <v>401</v>
      </c>
      <c r="V20" s="52">
        <v>15</v>
      </c>
      <c r="W20" s="53">
        <v>51.5</v>
      </c>
      <c r="X20" s="48">
        <v>1.7793187663183601</v>
      </c>
      <c r="Y20" s="49">
        <v>2.1203969779771499</v>
      </c>
      <c r="Z20" s="49">
        <v>4.26</v>
      </c>
      <c r="AA20" s="49">
        <v>5.64</v>
      </c>
      <c r="AB20" s="48">
        <v>0.79392042721889899</v>
      </c>
      <c r="AC20" s="49">
        <v>3.21</v>
      </c>
      <c r="AD20" s="48">
        <v>0.84705516749892995</v>
      </c>
      <c r="AE20" s="54">
        <v>3.2949999999999999</v>
      </c>
    </row>
    <row r="21" spans="1:31" s="7" customFormat="1" x14ac:dyDescent="0.3">
      <c r="A21" s="40" t="s">
        <v>20</v>
      </c>
      <c r="B21" s="41" t="s">
        <v>21</v>
      </c>
      <c r="C21" s="42" t="s">
        <v>22</v>
      </c>
      <c r="D21" s="43">
        <v>132</v>
      </c>
      <c r="E21" s="44">
        <v>31</v>
      </c>
      <c r="F21" s="44">
        <v>219</v>
      </c>
      <c r="G21" s="41">
        <v>0.23484848484848486</v>
      </c>
      <c r="H21" s="41" t="s">
        <v>127</v>
      </c>
      <c r="I21" s="41" t="s">
        <v>14</v>
      </c>
      <c r="J21" s="43">
        <v>103</v>
      </c>
      <c r="K21" s="44">
        <v>6</v>
      </c>
      <c r="L21" s="45">
        <v>26.8</v>
      </c>
      <c r="M21" s="46">
        <v>0.95763028536122397</v>
      </c>
      <c r="N21" s="41">
        <v>1.07440033262667</v>
      </c>
      <c r="O21" s="41">
        <v>3.47</v>
      </c>
      <c r="P21" s="41">
        <v>4.5999999999999996</v>
      </c>
      <c r="Q21" s="46">
        <v>0.56939443375487497</v>
      </c>
      <c r="R21" s="41">
        <v>2.71</v>
      </c>
      <c r="S21" s="41">
        <v>0.62470732580787258</v>
      </c>
      <c r="T21" s="41">
        <v>2.85</v>
      </c>
      <c r="U21" s="43">
        <v>224</v>
      </c>
      <c r="V21" s="44">
        <v>46</v>
      </c>
      <c r="W21" s="45">
        <v>53.8</v>
      </c>
      <c r="X21" s="46">
        <v>2.1353398584579502</v>
      </c>
      <c r="Y21" s="41">
        <v>2.4106845926895502</v>
      </c>
      <c r="Z21" s="41">
        <v>4.47</v>
      </c>
      <c r="AA21" s="41">
        <v>5.82</v>
      </c>
      <c r="AB21" s="46">
        <v>1.2321470496854601</v>
      </c>
      <c r="AC21" s="41">
        <v>3.81</v>
      </c>
      <c r="AD21" s="46">
        <v>1.3297903815979699</v>
      </c>
      <c r="AE21" s="47">
        <v>3.9050000000000002</v>
      </c>
    </row>
    <row r="22" spans="1:31" s="7" customFormat="1" x14ac:dyDescent="0.3">
      <c r="A22" s="66" t="s">
        <v>23</v>
      </c>
      <c r="B22" s="50" t="s">
        <v>21</v>
      </c>
      <c r="C22" s="50" t="s">
        <v>24</v>
      </c>
      <c r="D22" s="61">
        <v>132</v>
      </c>
      <c r="E22" s="62">
        <v>15</v>
      </c>
      <c r="F22" s="62">
        <v>235</v>
      </c>
      <c r="G22" s="50">
        <v>0.11363636363636363</v>
      </c>
      <c r="H22" s="49" t="s">
        <v>125</v>
      </c>
      <c r="I22" s="50" t="s">
        <v>14</v>
      </c>
      <c r="J22" s="61">
        <v>102</v>
      </c>
      <c r="K22" s="62">
        <v>6</v>
      </c>
      <c r="L22" s="63">
        <v>25.3</v>
      </c>
      <c r="M22" s="60">
        <v>0.37401468328392301</v>
      </c>
      <c r="N22" s="50">
        <v>0.39965785096539103</v>
      </c>
      <c r="O22" s="50">
        <v>2.0099999999999998</v>
      </c>
      <c r="P22" s="50">
        <v>2.69</v>
      </c>
      <c r="Q22" s="60">
        <v>0.26298189627325902</v>
      </c>
      <c r="R22" s="50">
        <v>1.36</v>
      </c>
      <c r="S22" s="50">
        <v>0.27680646694043254</v>
      </c>
      <c r="T22" s="50">
        <v>1.4450000000000001</v>
      </c>
      <c r="U22" s="61">
        <v>203</v>
      </c>
      <c r="V22" s="62">
        <v>42</v>
      </c>
      <c r="W22" s="63">
        <v>50.1</v>
      </c>
      <c r="X22" s="60">
        <v>0.64596697258018698</v>
      </c>
      <c r="Y22" s="50">
        <v>0.62846675541985098</v>
      </c>
      <c r="Z22" s="50">
        <v>2.9</v>
      </c>
      <c r="AA22" s="50">
        <v>3.63</v>
      </c>
      <c r="AB22" s="60">
        <v>0.51666207906333195</v>
      </c>
      <c r="AC22" s="50">
        <v>2.5499999999999998</v>
      </c>
      <c r="AD22" s="60">
        <v>0.52159561122530196</v>
      </c>
      <c r="AE22" s="64">
        <v>2.5750000000000002</v>
      </c>
    </row>
    <row r="23" spans="1:31" s="7" customFormat="1" x14ac:dyDescent="0.3">
      <c r="A23" s="46" t="s">
        <v>25</v>
      </c>
      <c r="B23" s="41" t="s">
        <v>21</v>
      </c>
      <c r="C23" s="42" t="s">
        <v>24</v>
      </c>
      <c r="D23" s="43">
        <v>132</v>
      </c>
      <c r="E23" s="44">
        <v>43</v>
      </c>
      <c r="F23" s="44">
        <v>207</v>
      </c>
      <c r="G23" s="41">
        <v>0.32575757575757575</v>
      </c>
      <c r="H23" s="41" t="s">
        <v>125</v>
      </c>
      <c r="I23" s="41" t="s">
        <v>14</v>
      </c>
      <c r="J23" s="43">
        <v>103</v>
      </c>
      <c r="K23" s="44">
        <v>6</v>
      </c>
      <c r="L23" s="45">
        <v>28.7</v>
      </c>
      <c r="M23" s="46">
        <v>0.93791450725453795</v>
      </c>
      <c r="N23" s="41">
        <v>1.0422730528697099</v>
      </c>
      <c r="O23" s="41">
        <v>3.44</v>
      </c>
      <c r="P23" s="41">
        <v>4.55</v>
      </c>
      <c r="Q23" s="46">
        <v>0.59734206153802005</v>
      </c>
      <c r="R23" s="41">
        <v>2.78</v>
      </c>
      <c r="S23" s="41">
        <v>0.6319228442613789</v>
      </c>
      <c r="T23" s="41">
        <v>2.875</v>
      </c>
      <c r="U23" s="43">
        <v>200</v>
      </c>
      <c r="V23" s="44">
        <v>44</v>
      </c>
      <c r="W23" s="45">
        <v>50</v>
      </c>
      <c r="X23" s="46">
        <v>1.9001928323033299</v>
      </c>
      <c r="Y23" s="41">
        <v>2.1799823238643898</v>
      </c>
      <c r="Z23" s="41">
        <v>4.34</v>
      </c>
      <c r="AA23" s="41">
        <v>5.68</v>
      </c>
      <c r="AB23" s="46">
        <v>1.12977147260952</v>
      </c>
      <c r="AC23" s="41">
        <v>3.7</v>
      </c>
      <c r="AD23" s="46">
        <v>1.214781134816405</v>
      </c>
      <c r="AE23" s="47">
        <v>3.79</v>
      </c>
    </row>
    <row r="24" spans="1:31" s="7" customFormat="1" x14ac:dyDescent="0.3">
      <c r="A24" s="65" t="s">
        <v>100</v>
      </c>
      <c r="B24" s="49" t="s">
        <v>96</v>
      </c>
      <c r="C24" s="50" t="s">
        <v>101</v>
      </c>
      <c r="D24" s="51">
        <v>135</v>
      </c>
      <c r="E24" s="52">
        <v>33</v>
      </c>
      <c r="F24" s="52">
        <v>217</v>
      </c>
      <c r="G24" s="49">
        <v>0.24444444444444444</v>
      </c>
      <c r="H24" s="49" t="s">
        <v>127</v>
      </c>
      <c r="I24" s="49" t="s">
        <v>14</v>
      </c>
      <c r="J24" s="51">
        <v>82</v>
      </c>
      <c r="K24" s="52">
        <v>5</v>
      </c>
      <c r="L24" s="53">
        <v>23.5</v>
      </c>
      <c r="M24" s="48">
        <v>0.52782836718396697</v>
      </c>
      <c r="N24" s="49">
        <v>0.65425732195711495</v>
      </c>
      <c r="O24" s="49">
        <v>2.59</v>
      </c>
      <c r="P24" s="49">
        <v>3.71</v>
      </c>
      <c r="Q24" s="48">
        <v>0.36407919513516701</v>
      </c>
      <c r="R24" s="49">
        <v>1.96</v>
      </c>
      <c r="S24" s="49">
        <v>0.39068816646274551</v>
      </c>
      <c r="T24" s="49">
        <v>2.105</v>
      </c>
      <c r="U24" s="51">
        <v>199</v>
      </c>
      <c r="V24" s="52">
        <v>28</v>
      </c>
      <c r="W24" s="53">
        <v>47</v>
      </c>
      <c r="X24" s="48">
        <v>1.19501555322719</v>
      </c>
      <c r="Y24" s="49">
        <v>1.5874271815454699</v>
      </c>
      <c r="Z24" s="49">
        <v>3.77</v>
      </c>
      <c r="AA24" s="49">
        <v>5.22</v>
      </c>
      <c r="AB24" s="48">
        <v>0.82424987005539796</v>
      </c>
      <c r="AC24" s="49">
        <v>3.26</v>
      </c>
      <c r="AD24" s="48">
        <v>0.893759577701849</v>
      </c>
      <c r="AE24" s="54">
        <v>3.38</v>
      </c>
    </row>
    <row r="25" spans="1:31" s="7" customFormat="1" x14ac:dyDescent="0.3">
      <c r="A25" s="40" t="s">
        <v>98</v>
      </c>
      <c r="B25" s="41" t="s">
        <v>96</v>
      </c>
      <c r="C25" s="42" t="s">
        <v>99</v>
      </c>
      <c r="D25" s="43">
        <v>100</v>
      </c>
      <c r="E25" s="44">
        <v>36</v>
      </c>
      <c r="F25" s="44">
        <v>214</v>
      </c>
      <c r="G25" s="41">
        <v>0.36</v>
      </c>
      <c r="H25" s="41" t="s">
        <v>127</v>
      </c>
      <c r="I25" s="41" t="s">
        <v>29</v>
      </c>
      <c r="J25" s="43">
        <v>250</v>
      </c>
      <c r="K25" s="44">
        <v>61</v>
      </c>
      <c r="L25" s="45">
        <v>32.1</v>
      </c>
      <c r="M25" s="46">
        <v>1.66824984571817</v>
      </c>
      <c r="N25" s="41">
        <v>1.9701950875615</v>
      </c>
      <c r="O25" s="41">
        <v>4.18</v>
      </c>
      <c r="P25" s="41">
        <v>5.54</v>
      </c>
      <c r="Q25" s="46">
        <v>0.88161954614103899</v>
      </c>
      <c r="R25" s="41">
        <v>3.36</v>
      </c>
      <c r="S25" s="41">
        <v>0.52034103550830446</v>
      </c>
      <c r="T25" s="41">
        <v>2.56</v>
      </c>
      <c r="U25" s="43">
        <v>250</v>
      </c>
      <c r="V25" s="44">
        <v>61</v>
      </c>
      <c r="W25" s="45">
        <v>50.7</v>
      </c>
      <c r="X25" s="46">
        <v>1.66824984571817</v>
      </c>
      <c r="Y25" s="41">
        <v>1.9701950875615</v>
      </c>
      <c r="Z25" s="41">
        <v>4.18</v>
      </c>
      <c r="AA25" s="41">
        <v>5.54</v>
      </c>
      <c r="AB25" s="46">
        <v>0.88161954614103899</v>
      </c>
      <c r="AC25" s="41">
        <v>3.36</v>
      </c>
      <c r="AD25" s="46">
        <v>0.94446490934283545</v>
      </c>
      <c r="AE25" s="47">
        <v>3.4550000000000001</v>
      </c>
    </row>
    <row r="26" spans="1:31" s="7" customFormat="1" x14ac:dyDescent="0.3">
      <c r="A26" s="65" t="s">
        <v>95</v>
      </c>
      <c r="B26" s="49" t="s">
        <v>96</v>
      </c>
      <c r="C26" s="50" t="s">
        <v>97</v>
      </c>
      <c r="D26" s="51">
        <v>140</v>
      </c>
      <c r="E26" s="52">
        <v>36</v>
      </c>
      <c r="F26" s="52">
        <v>214</v>
      </c>
      <c r="G26" s="49">
        <v>0.25714285714285712</v>
      </c>
      <c r="H26" s="49" t="s">
        <v>127</v>
      </c>
      <c r="I26" s="49" t="s">
        <v>29</v>
      </c>
      <c r="J26" s="51">
        <v>193</v>
      </c>
      <c r="K26" s="52">
        <v>19</v>
      </c>
      <c r="L26" s="53">
        <v>50.4</v>
      </c>
      <c r="M26" s="48">
        <v>0.99812343472392995</v>
      </c>
      <c r="N26" s="49">
        <v>1.07227111998511</v>
      </c>
      <c r="O26" s="49">
        <v>3.53</v>
      </c>
      <c r="P26" s="49">
        <v>4.5999999999999996</v>
      </c>
      <c r="Q26" s="48">
        <v>0.60109319513474102</v>
      </c>
      <c r="R26" s="49">
        <v>2.79</v>
      </c>
      <c r="S26" s="49">
        <v>0.65109181502174851</v>
      </c>
      <c r="T26" s="49">
        <v>2.91</v>
      </c>
      <c r="U26" s="51">
        <v>288.06779661016947</v>
      </c>
      <c r="V26" s="52">
        <v>53.551724137931032</v>
      </c>
      <c r="W26" s="53">
        <v>59.4</v>
      </c>
      <c r="X26" s="48">
        <v>1.4538061694628099</v>
      </c>
      <c r="Y26" s="49">
        <v>1.5996920385889499</v>
      </c>
      <c r="Z26" s="49">
        <v>4.0199999999999996</v>
      </c>
      <c r="AA26" s="49">
        <v>5.24</v>
      </c>
      <c r="AB26" s="48">
        <v>0.87554488337560499</v>
      </c>
      <c r="AC26" s="49">
        <v>3.35</v>
      </c>
      <c r="AD26" s="48">
        <v>0.95253339841322604</v>
      </c>
      <c r="AE26" s="54">
        <v>3.4649999999999999</v>
      </c>
    </row>
    <row r="27" spans="1:31" s="7" customFormat="1" x14ac:dyDescent="0.3">
      <c r="A27" s="67" t="s">
        <v>110</v>
      </c>
      <c r="B27" s="42" t="s">
        <v>106</v>
      </c>
      <c r="C27" s="42" t="s">
        <v>111</v>
      </c>
      <c r="D27" s="56">
        <v>105</v>
      </c>
      <c r="E27" s="57">
        <v>27.5</v>
      </c>
      <c r="F27" s="57">
        <v>222.5</v>
      </c>
      <c r="G27" s="42">
        <v>0.26190476190476192</v>
      </c>
      <c r="H27" s="41" t="s">
        <v>127</v>
      </c>
      <c r="I27" s="42" t="s">
        <v>29</v>
      </c>
      <c r="J27" s="56">
        <v>125</v>
      </c>
      <c r="K27" s="57">
        <v>27</v>
      </c>
      <c r="L27" s="58">
        <v>28.8</v>
      </c>
      <c r="M27" s="55">
        <v>0.533660565620102</v>
      </c>
      <c r="N27" s="42">
        <v>0.72683414108193101</v>
      </c>
      <c r="O27" s="42">
        <v>2.6</v>
      </c>
      <c r="P27" s="42">
        <v>3.91</v>
      </c>
      <c r="Q27" s="55">
        <v>0.33955228297742601</v>
      </c>
      <c r="R27" s="42">
        <v>1.84</v>
      </c>
      <c r="S27" s="42">
        <v>0.36113185030620298</v>
      </c>
      <c r="T27" s="42">
        <v>1.94</v>
      </c>
      <c r="U27" s="56">
        <v>222</v>
      </c>
      <c r="V27" s="57">
        <v>45</v>
      </c>
      <c r="W27" s="58">
        <v>46.4</v>
      </c>
      <c r="X27" s="55">
        <v>0.94035700078612805</v>
      </c>
      <c r="Y27" s="42">
        <v>1.28282365371022</v>
      </c>
      <c r="Z27" s="42">
        <v>3.45</v>
      </c>
      <c r="AA27" s="42">
        <v>4.8899999999999997</v>
      </c>
      <c r="AB27" s="55">
        <v>0.58785326721950004</v>
      </c>
      <c r="AC27" s="42">
        <v>2.76</v>
      </c>
      <c r="AD27" s="55">
        <v>0.62738775283998505</v>
      </c>
      <c r="AE27" s="59">
        <v>2.85</v>
      </c>
    </row>
    <row r="28" spans="1:31" s="7" customFormat="1" x14ac:dyDescent="0.3">
      <c r="A28" s="65" t="s">
        <v>108</v>
      </c>
      <c r="B28" s="49" t="s">
        <v>106</v>
      </c>
      <c r="C28" s="50" t="s">
        <v>109</v>
      </c>
      <c r="D28" s="51">
        <v>142</v>
      </c>
      <c r="E28" s="52">
        <v>44.5</v>
      </c>
      <c r="F28" s="52">
        <v>205.5</v>
      </c>
      <c r="G28" s="49">
        <v>0.31338028169014087</v>
      </c>
      <c r="H28" s="49" t="s">
        <v>127</v>
      </c>
      <c r="I28" s="49" t="s">
        <v>29</v>
      </c>
      <c r="J28" s="51">
        <v>100</v>
      </c>
      <c r="K28" s="52">
        <v>9</v>
      </c>
      <c r="L28" s="53">
        <v>28.3</v>
      </c>
      <c r="M28" s="48">
        <v>0.58271827810101295</v>
      </c>
      <c r="N28" s="49">
        <v>0.63746172805838996</v>
      </c>
      <c r="O28" s="49">
        <v>2.74</v>
      </c>
      <c r="P28" s="49">
        <v>3.66</v>
      </c>
      <c r="Q28" s="48">
        <v>0.36495126937067301</v>
      </c>
      <c r="R28" s="49">
        <v>1.97</v>
      </c>
      <c r="S28" s="49">
        <v>0.39317148170440253</v>
      </c>
      <c r="T28" s="49">
        <v>2.085</v>
      </c>
      <c r="U28" s="51">
        <v>262</v>
      </c>
      <c r="V28" s="52">
        <v>61</v>
      </c>
      <c r="W28" s="53">
        <v>58.7</v>
      </c>
      <c r="X28" s="48">
        <v>1.53299788613606</v>
      </c>
      <c r="Y28" s="49">
        <v>1.70890583047691</v>
      </c>
      <c r="Z28" s="49">
        <v>4.08</v>
      </c>
      <c r="AA28" s="49">
        <v>5.33</v>
      </c>
      <c r="AB28" s="48">
        <v>0.95111559573661897</v>
      </c>
      <c r="AC28" s="49">
        <v>3.46</v>
      </c>
      <c r="AD28" s="48">
        <v>1.0299300895140449</v>
      </c>
      <c r="AE28" s="54">
        <v>3.57</v>
      </c>
    </row>
    <row r="29" spans="1:31" s="7" customFormat="1" x14ac:dyDescent="0.3">
      <c r="A29" s="40" t="s">
        <v>112</v>
      </c>
      <c r="B29" s="41" t="s">
        <v>106</v>
      </c>
      <c r="C29" s="42" t="s">
        <v>113</v>
      </c>
      <c r="D29" s="43">
        <v>76</v>
      </c>
      <c r="E29" s="44">
        <v>23.5</v>
      </c>
      <c r="F29" s="44">
        <v>226.5</v>
      </c>
      <c r="G29" s="41">
        <v>0.30921052631578949</v>
      </c>
      <c r="H29" s="41" t="s">
        <v>127</v>
      </c>
      <c r="I29" s="41" t="s">
        <v>29</v>
      </c>
      <c r="J29" s="43">
        <v>152</v>
      </c>
      <c r="K29" s="44">
        <v>39</v>
      </c>
      <c r="L29" s="45">
        <v>39.1</v>
      </c>
      <c r="M29" s="46">
        <v>0.60075211148140895</v>
      </c>
      <c r="N29" s="41">
        <v>0.80723408552908604</v>
      </c>
      <c r="O29" s="41">
        <v>2.79</v>
      </c>
      <c r="P29" s="41">
        <v>4.0999999999999996</v>
      </c>
      <c r="Q29" s="46">
        <v>0.37987296939181098</v>
      </c>
      <c r="R29" s="41">
        <v>2.04</v>
      </c>
      <c r="S29" s="41">
        <v>0.40624810903435099</v>
      </c>
      <c r="T29" s="41">
        <v>2.15</v>
      </c>
      <c r="U29" s="43">
        <v>270</v>
      </c>
      <c r="V29" s="44">
        <v>50</v>
      </c>
      <c r="W29" s="45">
        <v>49.6</v>
      </c>
      <c r="X29" s="46">
        <v>1.12999224820634</v>
      </c>
      <c r="Y29" s="41">
        <v>1.49233072881928</v>
      </c>
      <c r="Z29" s="41">
        <v>3.7</v>
      </c>
      <c r="AA29" s="41">
        <v>5.13</v>
      </c>
      <c r="AB29" s="46">
        <v>0.70766636704705899</v>
      </c>
      <c r="AC29" s="41">
        <v>3.04</v>
      </c>
      <c r="AD29" s="46">
        <v>0.75738209964781644</v>
      </c>
      <c r="AE29" s="47">
        <v>3.1349999999999998</v>
      </c>
    </row>
    <row r="30" spans="1:31" s="7" customFormat="1" x14ac:dyDescent="0.3">
      <c r="A30" s="65" t="s">
        <v>105</v>
      </c>
      <c r="B30" s="49" t="s">
        <v>106</v>
      </c>
      <c r="C30" s="50" t="s">
        <v>107</v>
      </c>
      <c r="D30" s="51">
        <v>132</v>
      </c>
      <c r="E30" s="52">
        <v>24</v>
      </c>
      <c r="F30" s="52">
        <v>226</v>
      </c>
      <c r="G30" s="49">
        <v>0.18181818181818182</v>
      </c>
      <c r="H30" s="49" t="s">
        <v>127</v>
      </c>
      <c r="I30" s="49" t="s">
        <v>29</v>
      </c>
      <c r="J30" s="51">
        <v>77</v>
      </c>
      <c r="K30" s="52">
        <v>13</v>
      </c>
      <c r="L30" s="53">
        <v>23.1</v>
      </c>
      <c r="M30" s="48">
        <v>0.37635204045081999</v>
      </c>
      <c r="N30" s="49">
        <v>0.483916905053143</v>
      </c>
      <c r="O30" s="49">
        <v>2.02</v>
      </c>
      <c r="P30" s="49">
        <v>3.1</v>
      </c>
      <c r="Q30" s="48">
        <v>0.25298942139125602</v>
      </c>
      <c r="R30" s="49">
        <v>1.29</v>
      </c>
      <c r="S30" s="49">
        <v>0.27491305456702952</v>
      </c>
      <c r="T30" s="49">
        <v>1.4449999999999998</v>
      </c>
      <c r="U30" s="51">
        <v>182</v>
      </c>
      <c r="V30" s="52">
        <v>60</v>
      </c>
      <c r="W30" s="53">
        <v>49.3</v>
      </c>
      <c r="X30" s="48">
        <v>0.97832490949645001</v>
      </c>
      <c r="Y30" s="49">
        <v>1.2099280024075501</v>
      </c>
      <c r="Z30" s="49">
        <v>3.5</v>
      </c>
      <c r="AA30" s="49">
        <v>4.8</v>
      </c>
      <c r="AB30" s="48">
        <v>0.61127551900278099</v>
      </c>
      <c r="AC30" s="49">
        <v>2.82</v>
      </c>
      <c r="AD30" s="48">
        <v>0.666745501620845</v>
      </c>
      <c r="AE30" s="54">
        <v>2.96</v>
      </c>
    </row>
    <row r="31" spans="1:31" s="7" customFormat="1" x14ac:dyDescent="0.3">
      <c r="A31" s="40" t="s">
        <v>52</v>
      </c>
      <c r="B31" s="41" t="s">
        <v>53</v>
      </c>
      <c r="C31" s="42" t="s">
        <v>54</v>
      </c>
      <c r="D31" s="43">
        <v>128</v>
      </c>
      <c r="E31" s="44">
        <v>28</v>
      </c>
      <c r="F31" s="44">
        <v>222</v>
      </c>
      <c r="G31" s="41">
        <v>0.21875</v>
      </c>
      <c r="H31" s="41" t="s">
        <v>127</v>
      </c>
      <c r="I31" s="41" t="s">
        <v>14</v>
      </c>
      <c r="J31" s="43">
        <v>54</v>
      </c>
      <c r="K31" s="44">
        <v>4</v>
      </c>
      <c r="L31" s="45">
        <v>20.6</v>
      </c>
      <c r="M31" s="46">
        <v>0.35273800023094798</v>
      </c>
      <c r="N31" s="41">
        <v>0.43830957081654698</v>
      </c>
      <c r="O31" s="41">
        <v>1.91</v>
      </c>
      <c r="P31" s="41">
        <v>2.89</v>
      </c>
      <c r="Q31" s="46">
        <v>0.204878095288831</v>
      </c>
      <c r="R31" s="41">
        <v>0.87</v>
      </c>
      <c r="S31" s="41">
        <v>0.216739432347896</v>
      </c>
      <c r="T31" s="41">
        <v>0.96500000000000008</v>
      </c>
      <c r="U31" s="43">
        <v>184</v>
      </c>
      <c r="V31" s="44">
        <v>29</v>
      </c>
      <c r="W31" s="45">
        <v>38.6</v>
      </c>
      <c r="X31" s="46">
        <v>1.0440899510433801</v>
      </c>
      <c r="Y31" s="41">
        <v>1.47404295143078</v>
      </c>
      <c r="Z31" s="41">
        <v>3.59</v>
      </c>
      <c r="AA31" s="41">
        <v>5.1100000000000003</v>
      </c>
      <c r="AB31" s="46">
        <v>0.68278332631527305</v>
      </c>
      <c r="AC31" s="41">
        <v>2.99</v>
      </c>
      <c r="AD31" s="46">
        <v>0.73302263979629556</v>
      </c>
      <c r="AE31" s="47">
        <v>3.09</v>
      </c>
    </row>
    <row r="32" spans="1:31" s="7" customFormat="1" x14ac:dyDescent="0.3">
      <c r="A32" s="65" t="s">
        <v>55</v>
      </c>
      <c r="B32" s="49" t="s">
        <v>53</v>
      </c>
      <c r="C32" s="50" t="s">
        <v>54</v>
      </c>
      <c r="D32" s="51">
        <v>128</v>
      </c>
      <c r="E32" s="52">
        <v>38</v>
      </c>
      <c r="F32" s="52">
        <v>212</v>
      </c>
      <c r="G32" s="49">
        <v>0.296875</v>
      </c>
      <c r="H32" s="49" t="s">
        <v>127</v>
      </c>
      <c r="I32" s="49" t="s">
        <v>14</v>
      </c>
      <c r="J32" s="51">
        <v>53</v>
      </c>
      <c r="K32" s="52">
        <v>4</v>
      </c>
      <c r="L32" s="53">
        <v>20.9</v>
      </c>
      <c r="M32" s="48">
        <v>0.38424669120078803</v>
      </c>
      <c r="N32" s="49">
        <v>0.43995177825280402</v>
      </c>
      <c r="O32" s="49">
        <v>2.06</v>
      </c>
      <c r="P32" s="49">
        <v>2.9</v>
      </c>
      <c r="Q32" s="48">
        <v>0.224530432387475</v>
      </c>
      <c r="R32" s="49">
        <v>1.05</v>
      </c>
      <c r="S32" s="49">
        <v>0.24163947085314399</v>
      </c>
      <c r="T32" s="49">
        <v>1.18</v>
      </c>
      <c r="U32" s="51">
        <v>178</v>
      </c>
      <c r="V32" s="52">
        <v>30</v>
      </c>
      <c r="W32" s="53">
        <v>43.3</v>
      </c>
      <c r="X32" s="48">
        <v>1.41366398598831</v>
      </c>
      <c r="Y32" s="49">
        <v>1.5379693776269201</v>
      </c>
      <c r="Z32" s="49">
        <v>3.98</v>
      </c>
      <c r="AA32" s="49">
        <v>5.18</v>
      </c>
      <c r="AB32" s="48">
        <v>0.790180455968443</v>
      </c>
      <c r="AC32" s="49">
        <v>3.2</v>
      </c>
      <c r="AD32" s="48">
        <v>0.85040251928164556</v>
      </c>
      <c r="AE32" s="54">
        <v>3.3049999999999997</v>
      </c>
    </row>
    <row r="33" spans="1:31" s="7" customFormat="1" x14ac:dyDescent="0.3">
      <c r="A33" s="40" t="s">
        <v>58</v>
      </c>
      <c r="B33" s="41" t="s">
        <v>53</v>
      </c>
      <c r="C33" s="42" t="s">
        <v>59</v>
      </c>
      <c r="D33" s="43">
        <v>132</v>
      </c>
      <c r="E33" s="44">
        <v>31</v>
      </c>
      <c r="F33" s="44">
        <v>219</v>
      </c>
      <c r="G33" s="41">
        <v>0.23484848484848486</v>
      </c>
      <c r="H33" s="41" t="s">
        <v>127</v>
      </c>
      <c r="I33" s="41" t="s">
        <v>14</v>
      </c>
      <c r="J33" s="43">
        <v>107</v>
      </c>
      <c r="K33" s="44">
        <v>4</v>
      </c>
      <c r="L33" s="45">
        <v>26.9</v>
      </c>
      <c r="M33" s="46">
        <v>0.47160299735949002</v>
      </c>
      <c r="N33" s="41">
        <v>0.58903141108521395</v>
      </c>
      <c r="O33" s="41">
        <v>2.4</v>
      </c>
      <c r="P33" s="41">
        <v>3.5</v>
      </c>
      <c r="Q33" s="46">
        <v>0.311871417318698</v>
      </c>
      <c r="R33" s="41">
        <v>1.68</v>
      </c>
      <c r="S33" s="41">
        <v>0.3378053145666905</v>
      </c>
      <c r="T33" s="41">
        <v>1.84</v>
      </c>
      <c r="U33" s="43">
        <v>220</v>
      </c>
      <c r="V33" s="44">
        <v>31</v>
      </c>
      <c r="W33" s="45">
        <v>44.1</v>
      </c>
      <c r="X33" s="46">
        <v>1.05418248100613</v>
      </c>
      <c r="Y33" s="41">
        <v>1.1539191197104599</v>
      </c>
      <c r="Z33" s="41">
        <v>3.6</v>
      </c>
      <c r="AA33" s="41">
        <v>4.72</v>
      </c>
      <c r="AB33" s="46">
        <v>0.66128431807425903</v>
      </c>
      <c r="AC33" s="41">
        <v>2.94</v>
      </c>
      <c r="AD33" s="46">
        <v>0.72348723849058949</v>
      </c>
      <c r="AE33" s="47">
        <v>3.08</v>
      </c>
    </row>
    <row r="34" spans="1:31" s="7" customFormat="1" x14ac:dyDescent="0.3">
      <c r="A34" s="65" t="s">
        <v>56</v>
      </c>
      <c r="B34" s="49" t="s">
        <v>53</v>
      </c>
      <c r="C34" s="50" t="s">
        <v>57</v>
      </c>
      <c r="D34" s="51">
        <v>142</v>
      </c>
      <c r="E34" s="52">
        <v>63</v>
      </c>
      <c r="F34" s="52">
        <v>187</v>
      </c>
      <c r="G34" s="49">
        <v>0.44366197183098594</v>
      </c>
      <c r="H34" s="49" t="s">
        <v>127</v>
      </c>
      <c r="I34" s="49" t="s">
        <v>14</v>
      </c>
      <c r="J34" s="51">
        <v>146</v>
      </c>
      <c r="K34" s="52">
        <v>29</v>
      </c>
      <c r="L34" s="53">
        <v>37.200000000000003</v>
      </c>
      <c r="M34" s="48">
        <v>0.72630388352589303</v>
      </c>
      <c r="N34" s="49">
        <v>0.793270088466274</v>
      </c>
      <c r="O34" s="49">
        <v>3.08</v>
      </c>
      <c r="P34" s="49">
        <v>4.07</v>
      </c>
      <c r="Q34" s="48">
        <v>0.50826176977742699</v>
      </c>
      <c r="R34" s="49">
        <v>2.5299999999999998</v>
      </c>
      <c r="S34" s="49">
        <v>0.54981558430148503</v>
      </c>
      <c r="T34" s="49">
        <v>2.6500000000000004</v>
      </c>
      <c r="U34" s="51">
        <v>236</v>
      </c>
      <c r="V34" s="52">
        <v>75</v>
      </c>
      <c r="W34" s="53">
        <v>55.6</v>
      </c>
      <c r="X34" s="48">
        <v>1.1637004941892399</v>
      </c>
      <c r="Y34" s="49">
        <v>1.3136668408979599</v>
      </c>
      <c r="Z34" s="49">
        <v>3.73</v>
      </c>
      <c r="AA34" s="49">
        <v>4.93</v>
      </c>
      <c r="AB34" s="48">
        <v>0.851168188046172</v>
      </c>
      <c r="AC34" s="49">
        <v>3.31</v>
      </c>
      <c r="AD34" s="48">
        <v>0.91433605392053408</v>
      </c>
      <c r="AE34" s="54">
        <v>3.41</v>
      </c>
    </row>
    <row r="35" spans="1:31" s="7" customFormat="1" x14ac:dyDescent="0.3">
      <c r="A35" s="40" t="s">
        <v>49</v>
      </c>
      <c r="B35" s="41" t="s">
        <v>50</v>
      </c>
      <c r="C35" s="42" t="s">
        <v>51</v>
      </c>
      <c r="D35" s="43">
        <v>132</v>
      </c>
      <c r="E35" s="44">
        <v>21</v>
      </c>
      <c r="F35" s="44">
        <v>229</v>
      </c>
      <c r="G35" s="41">
        <v>0.15909090909090909</v>
      </c>
      <c r="H35" s="41" t="s">
        <v>125</v>
      </c>
      <c r="I35" s="41" t="s">
        <v>14</v>
      </c>
      <c r="J35" s="43">
        <v>85</v>
      </c>
      <c r="K35" s="44">
        <v>5</v>
      </c>
      <c r="L35" s="45">
        <v>25.6</v>
      </c>
      <c r="M35" s="46">
        <v>0.38364514421878998</v>
      </c>
      <c r="N35" s="41">
        <v>0.44111206419782201</v>
      </c>
      <c r="O35" s="41">
        <v>2.0499999999999998</v>
      </c>
      <c r="P35" s="41">
        <v>2.91</v>
      </c>
      <c r="Q35" s="46">
        <v>0.30834513255150497</v>
      </c>
      <c r="R35" s="41">
        <v>1.66</v>
      </c>
      <c r="S35" s="41">
        <v>0.34512739032001349</v>
      </c>
      <c r="T35" s="41">
        <v>1.865</v>
      </c>
      <c r="U35" s="43">
        <v>167</v>
      </c>
      <c r="V35" s="44">
        <v>34</v>
      </c>
      <c r="W35" s="45">
        <v>43.9</v>
      </c>
      <c r="X35" s="46">
        <v>0.73533325388830795</v>
      </c>
      <c r="Y35" s="41">
        <v>0.95168163604954603</v>
      </c>
      <c r="Z35" s="41">
        <v>3.1</v>
      </c>
      <c r="AA35" s="41">
        <v>4.3899999999999997</v>
      </c>
      <c r="AB35" s="46">
        <v>0.60493699955809999</v>
      </c>
      <c r="AC35" s="41">
        <v>2.8</v>
      </c>
      <c r="AD35" s="46">
        <v>0.68800012555912504</v>
      </c>
      <c r="AE35" s="47">
        <v>3.0049999999999999</v>
      </c>
    </row>
    <row r="36" spans="1:31" s="7" customFormat="1" x14ac:dyDescent="0.3">
      <c r="A36" s="65" t="s">
        <v>37</v>
      </c>
      <c r="B36" s="49" t="s">
        <v>27</v>
      </c>
      <c r="C36" s="50" t="s">
        <v>38</v>
      </c>
      <c r="D36" s="51">
        <v>132</v>
      </c>
      <c r="E36" s="52">
        <v>26</v>
      </c>
      <c r="F36" s="52">
        <v>224</v>
      </c>
      <c r="G36" s="49">
        <v>0.19696969696969696</v>
      </c>
      <c r="H36" s="49" t="s">
        <v>127</v>
      </c>
      <c r="I36" s="49" t="s">
        <v>29</v>
      </c>
      <c r="J36" s="51">
        <v>68</v>
      </c>
      <c r="K36" s="52">
        <v>5</v>
      </c>
      <c r="L36" s="53">
        <v>25.2</v>
      </c>
      <c r="M36" s="48">
        <v>0.26554454949026002</v>
      </c>
      <c r="N36" s="49">
        <v>0.38800901039263902</v>
      </c>
      <c r="O36" s="49">
        <v>1.38</v>
      </c>
      <c r="P36" s="49">
        <v>2.63</v>
      </c>
      <c r="Q36" s="48">
        <v>0.167297325523004</v>
      </c>
      <c r="R36" s="49">
        <v>0.44</v>
      </c>
      <c r="S36" s="49">
        <v>0.181167949438577</v>
      </c>
      <c r="T36" s="49">
        <v>0.6</v>
      </c>
      <c r="U36" s="51">
        <v>266</v>
      </c>
      <c r="V36" s="52">
        <v>66</v>
      </c>
      <c r="W36" s="53">
        <v>55.1</v>
      </c>
      <c r="X36" s="48">
        <v>1.36357562395679</v>
      </c>
      <c r="Y36" s="49">
        <v>1.7229337753658001</v>
      </c>
      <c r="Z36" s="49">
        <v>3.94</v>
      </c>
      <c r="AA36" s="49">
        <v>5.35</v>
      </c>
      <c r="AB36" s="48">
        <v>0.802227601736477</v>
      </c>
      <c r="AC36" s="49">
        <v>3.22</v>
      </c>
      <c r="AD36" s="48">
        <v>0.8649589471965784</v>
      </c>
      <c r="AE36" s="54">
        <v>3.335</v>
      </c>
    </row>
    <row r="37" spans="1:31" s="7" customFormat="1" x14ac:dyDescent="0.3">
      <c r="A37" s="67" t="s">
        <v>32</v>
      </c>
      <c r="B37" s="42" t="s">
        <v>33</v>
      </c>
      <c r="C37" s="42" t="s">
        <v>34</v>
      </c>
      <c r="D37" s="56">
        <v>142</v>
      </c>
      <c r="E37" s="57">
        <v>20</v>
      </c>
      <c r="F37" s="57">
        <v>230</v>
      </c>
      <c r="G37" s="42">
        <v>0.14084507042253522</v>
      </c>
      <c r="H37" s="41" t="s">
        <v>125</v>
      </c>
      <c r="I37" s="42" t="s">
        <v>14</v>
      </c>
      <c r="J37" s="56">
        <v>31</v>
      </c>
      <c r="K37" s="57">
        <v>1</v>
      </c>
      <c r="L37" s="58">
        <v>25.9</v>
      </c>
      <c r="M37" s="55">
        <v>0.74508297593279305</v>
      </c>
      <c r="N37" s="42">
        <v>1.0939335652726501</v>
      </c>
      <c r="O37" s="42">
        <v>3.12</v>
      </c>
      <c r="P37" s="42">
        <v>4.63</v>
      </c>
      <c r="Q37" s="55">
        <v>0.53503162621381495</v>
      </c>
      <c r="R37" s="42">
        <v>2.61</v>
      </c>
      <c r="S37" s="42">
        <v>5.89512133788853E-2</v>
      </c>
      <c r="T37" s="42">
        <v>0</v>
      </c>
      <c r="U37" s="56">
        <v>138</v>
      </c>
      <c r="V37" s="57">
        <v>26</v>
      </c>
      <c r="W37" s="58">
        <v>50.6</v>
      </c>
      <c r="X37" s="55">
        <v>0.74508297593279305</v>
      </c>
      <c r="Y37" s="42">
        <v>1.0939335652726501</v>
      </c>
      <c r="Z37" s="42">
        <v>3.12</v>
      </c>
      <c r="AA37" s="42">
        <v>4.63</v>
      </c>
      <c r="AB37" s="55">
        <v>0.53503162621381495</v>
      </c>
      <c r="AC37" s="42">
        <v>2.61</v>
      </c>
      <c r="AD37" s="55">
        <v>0.56784373463956994</v>
      </c>
      <c r="AE37" s="59">
        <v>2.71</v>
      </c>
    </row>
    <row r="38" spans="1:31" s="7" customFormat="1" x14ac:dyDescent="0.3">
      <c r="A38" s="65" t="s">
        <v>30</v>
      </c>
      <c r="B38" s="49" t="s">
        <v>27</v>
      </c>
      <c r="C38" s="50" t="s">
        <v>31</v>
      </c>
      <c r="D38" s="51">
        <v>152</v>
      </c>
      <c r="E38" s="52">
        <v>35</v>
      </c>
      <c r="F38" s="52">
        <v>215</v>
      </c>
      <c r="G38" s="49">
        <v>0.23026315789473684</v>
      </c>
      <c r="H38" s="49" t="s">
        <v>127</v>
      </c>
      <c r="I38" s="49" t="s">
        <v>14</v>
      </c>
      <c r="J38" s="51">
        <v>52</v>
      </c>
      <c r="K38" s="52">
        <v>3</v>
      </c>
      <c r="L38" s="53">
        <v>25.1</v>
      </c>
      <c r="M38" s="48">
        <v>0.37973539905137199</v>
      </c>
      <c r="N38" s="49">
        <v>0.40312610651104902</v>
      </c>
      <c r="O38" s="49">
        <v>2.04</v>
      </c>
      <c r="P38" s="49">
        <v>2.71</v>
      </c>
      <c r="Q38" s="48">
        <v>0.24762557469837301</v>
      </c>
      <c r="R38" s="49">
        <v>1.25</v>
      </c>
      <c r="S38" s="49">
        <v>0.27049868015620449</v>
      </c>
      <c r="T38" s="49">
        <v>1.41</v>
      </c>
      <c r="U38" s="51">
        <v>155</v>
      </c>
      <c r="V38" s="52">
        <v>17</v>
      </c>
      <c r="W38" s="53">
        <v>32.299999999999997</v>
      </c>
      <c r="X38" s="48">
        <v>1.21029757473001</v>
      </c>
      <c r="Y38" s="49">
        <v>1.2837958620579299</v>
      </c>
      <c r="Z38" s="49">
        <v>3.79</v>
      </c>
      <c r="AA38" s="49">
        <v>4.8899999999999997</v>
      </c>
      <c r="AB38" s="48">
        <v>0.77074280088161895</v>
      </c>
      <c r="AC38" s="49">
        <v>3.17</v>
      </c>
      <c r="AD38" s="48">
        <v>0.84593201710940202</v>
      </c>
      <c r="AE38" s="54">
        <v>3.2949999999999999</v>
      </c>
    </row>
    <row r="39" spans="1:31" s="7" customFormat="1" x14ac:dyDescent="0.3">
      <c r="A39" s="40" t="s">
        <v>35</v>
      </c>
      <c r="B39" s="41" t="s">
        <v>27</v>
      </c>
      <c r="C39" s="42" t="s">
        <v>36</v>
      </c>
      <c r="D39" s="43">
        <v>140</v>
      </c>
      <c r="E39" s="44">
        <v>27</v>
      </c>
      <c r="F39" s="44">
        <v>223</v>
      </c>
      <c r="G39" s="41">
        <v>0.19285714285714287</v>
      </c>
      <c r="H39" s="41" t="s">
        <v>125</v>
      </c>
      <c r="I39" s="41" t="s">
        <v>14</v>
      </c>
      <c r="J39" s="43">
        <v>31</v>
      </c>
      <c r="K39" s="44">
        <v>1</v>
      </c>
      <c r="L39" s="45">
        <v>20.9</v>
      </c>
      <c r="M39" s="46">
        <v>9.7852934353978197E-2</v>
      </c>
      <c r="N39" s="41">
        <v>0.19388570229486199</v>
      </c>
      <c r="O39" s="41">
        <v>0</v>
      </c>
      <c r="P39" s="41">
        <v>0.95</v>
      </c>
      <c r="Q39" s="46">
        <v>0.117465482621896</v>
      </c>
      <c r="R39" s="41">
        <v>0</v>
      </c>
      <c r="S39" s="41">
        <v>0.13569798663747451</v>
      </c>
      <c r="T39" s="41">
        <v>0.1</v>
      </c>
      <c r="U39" s="43">
        <v>138</v>
      </c>
      <c r="V39" s="44">
        <v>26</v>
      </c>
      <c r="W39" s="45">
        <v>36.200000000000003</v>
      </c>
      <c r="X39" s="46">
        <v>0.99543594764163501</v>
      </c>
      <c r="Y39" s="41">
        <v>1.33878841306841</v>
      </c>
      <c r="Z39" s="41">
        <v>3.53</v>
      </c>
      <c r="AA39" s="41">
        <v>4.96</v>
      </c>
      <c r="AB39" s="46">
        <v>0.66566776053708698</v>
      </c>
      <c r="AC39" s="41">
        <v>2.95</v>
      </c>
      <c r="AD39" s="46">
        <v>0.72702988167907456</v>
      </c>
      <c r="AE39" s="47">
        <v>3.0750000000000002</v>
      </c>
    </row>
    <row r="40" spans="1:31" s="7" customFormat="1" x14ac:dyDescent="0.3">
      <c r="A40" s="60" t="s">
        <v>26</v>
      </c>
      <c r="B40" s="50" t="s">
        <v>27</v>
      </c>
      <c r="C40" s="50" t="s">
        <v>28</v>
      </c>
      <c r="D40" s="61">
        <v>132</v>
      </c>
      <c r="E40" s="62">
        <v>19</v>
      </c>
      <c r="F40" s="62">
        <v>231</v>
      </c>
      <c r="G40" s="50">
        <v>0.14393939393939395</v>
      </c>
      <c r="H40" s="49" t="s">
        <v>125</v>
      </c>
      <c r="I40" s="50" t="s">
        <v>29</v>
      </c>
      <c r="J40" s="61">
        <v>48</v>
      </c>
      <c r="K40" s="62">
        <v>25</v>
      </c>
      <c r="L40" s="63">
        <v>22.7</v>
      </c>
      <c r="M40" s="60">
        <v>0.21459747043751601</v>
      </c>
      <c r="N40" s="50">
        <v>0.244768135117088</v>
      </c>
      <c r="O40" s="50">
        <v>0.96</v>
      </c>
      <c r="P40" s="50">
        <v>1.54</v>
      </c>
      <c r="Q40" s="60">
        <v>0.17188112957517199</v>
      </c>
      <c r="R40" s="50">
        <v>0.5</v>
      </c>
      <c r="S40" s="50">
        <v>0.19442452998962451</v>
      </c>
      <c r="T40" s="50">
        <v>0.7649999999999999</v>
      </c>
      <c r="U40" s="61">
        <v>48</v>
      </c>
      <c r="V40" s="62">
        <v>25</v>
      </c>
      <c r="W40" s="63">
        <v>42.6</v>
      </c>
      <c r="X40" s="60">
        <v>0.21459747043751601</v>
      </c>
      <c r="Y40" s="50">
        <v>0.244768135117088</v>
      </c>
      <c r="Z40" s="50">
        <v>0.96</v>
      </c>
      <c r="AA40" s="50">
        <v>1.54</v>
      </c>
      <c r="AB40" s="60">
        <v>0.17188112957517199</v>
      </c>
      <c r="AC40" s="50">
        <v>0.5</v>
      </c>
      <c r="AD40" s="60">
        <v>0.59460975256547544</v>
      </c>
      <c r="AE40" s="64">
        <v>2.7749999999999999</v>
      </c>
    </row>
    <row r="41" spans="1:31" s="7" customFormat="1" x14ac:dyDescent="0.3">
      <c r="A41" s="67" t="s">
        <v>83</v>
      </c>
      <c r="B41" s="42" t="s">
        <v>84</v>
      </c>
      <c r="C41" s="42" t="s">
        <v>85</v>
      </c>
      <c r="D41" s="56">
        <v>100</v>
      </c>
      <c r="E41" s="57">
        <v>27</v>
      </c>
      <c r="F41" s="57">
        <v>223</v>
      </c>
      <c r="G41" s="42">
        <v>0.27</v>
      </c>
      <c r="H41" s="41" t="s">
        <v>127</v>
      </c>
      <c r="I41" s="42" t="s">
        <v>14</v>
      </c>
      <c r="J41" s="56">
        <v>149</v>
      </c>
      <c r="K41" s="57">
        <v>6</v>
      </c>
      <c r="L41" s="58">
        <v>27.2</v>
      </c>
      <c r="M41" s="55">
        <v>0.49989602672495498</v>
      </c>
      <c r="N41" s="42">
        <v>0.68590908030166398</v>
      </c>
      <c r="O41" s="42">
        <v>2.5</v>
      </c>
      <c r="P41" s="42">
        <v>3.8</v>
      </c>
      <c r="Q41" s="55">
        <v>0.32313277722862299</v>
      </c>
      <c r="R41" s="42">
        <v>1.75</v>
      </c>
      <c r="S41" s="42">
        <v>0.34293502359991251</v>
      </c>
      <c r="T41" s="42">
        <v>1.8399999999999999</v>
      </c>
      <c r="U41" s="56">
        <v>149</v>
      </c>
      <c r="V41" s="57">
        <v>6</v>
      </c>
      <c r="W41" s="58">
        <v>45.8</v>
      </c>
      <c r="X41" s="55">
        <v>0.49989602672495498</v>
      </c>
      <c r="Y41" s="42">
        <v>0.68590908030166398</v>
      </c>
      <c r="Z41" s="42">
        <v>2.5</v>
      </c>
      <c r="AA41" s="42">
        <v>3.8</v>
      </c>
      <c r="AB41" s="55">
        <v>0.32313277722862299</v>
      </c>
      <c r="AC41" s="42">
        <v>1.75</v>
      </c>
      <c r="AD41" s="55">
        <v>0.58221629240551254</v>
      </c>
      <c r="AE41" s="59">
        <v>2.75</v>
      </c>
    </row>
    <row r="42" spans="1:31" s="7" customFormat="1" x14ac:dyDescent="0.3">
      <c r="A42" s="48" t="s">
        <v>11</v>
      </c>
      <c r="B42" s="49" t="s">
        <v>12</v>
      </c>
      <c r="C42" s="50" t="s">
        <v>13</v>
      </c>
      <c r="D42" s="51">
        <v>152</v>
      </c>
      <c r="E42" s="52">
        <v>29</v>
      </c>
      <c r="F42" s="52">
        <v>221</v>
      </c>
      <c r="G42" s="49">
        <v>0.19078947368421054</v>
      </c>
      <c r="H42" s="49" t="s">
        <v>127</v>
      </c>
      <c r="I42" s="49" t="s">
        <v>14</v>
      </c>
      <c r="J42" s="51">
        <v>98</v>
      </c>
      <c r="K42" s="52">
        <v>6</v>
      </c>
      <c r="L42" s="53">
        <v>23.3</v>
      </c>
      <c r="M42" s="48">
        <v>0.695117087691552</v>
      </c>
      <c r="N42" s="49">
        <v>0.72675467520582004</v>
      </c>
      <c r="O42" s="49">
        <v>3.01</v>
      </c>
      <c r="P42" s="49">
        <v>3.91</v>
      </c>
      <c r="Q42" s="48">
        <v>0.43795572551154399</v>
      </c>
      <c r="R42" s="49">
        <v>2.2799999999999998</v>
      </c>
      <c r="S42" s="49">
        <v>0.48137079878709899</v>
      </c>
      <c r="T42" s="49">
        <v>2.4350000000000001</v>
      </c>
      <c r="U42" s="51">
        <v>206</v>
      </c>
      <c r="V42" s="52">
        <v>37</v>
      </c>
      <c r="W42" s="53">
        <v>53.3</v>
      </c>
      <c r="X42" s="48">
        <v>1.7237129545274601</v>
      </c>
      <c r="Y42" s="49">
        <v>1.81006906867397</v>
      </c>
      <c r="Z42" s="49">
        <v>4.22</v>
      </c>
      <c r="AA42" s="49">
        <v>5.42</v>
      </c>
      <c r="AB42" s="48">
        <v>1.0715284814525801</v>
      </c>
      <c r="AC42" s="49">
        <v>3.63</v>
      </c>
      <c r="AD42" s="48">
        <v>1.1821102958844052</v>
      </c>
      <c r="AE42" s="54">
        <v>3.76</v>
      </c>
    </row>
    <row r="43" spans="1:31" s="7" customFormat="1" x14ac:dyDescent="0.3">
      <c r="A43" s="46" t="s">
        <v>15</v>
      </c>
      <c r="B43" s="41" t="s">
        <v>12</v>
      </c>
      <c r="C43" s="42" t="s">
        <v>16</v>
      </c>
      <c r="D43" s="43">
        <v>132</v>
      </c>
      <c r="E43" s="44">
        <v>28.5</v>
      </c>
      <c r="F43" s="44">
        <v>221.5</v>
      </c>
      <c r="G43" s="41">
        <v>0.21590909090909091</v>
      </c>
      <c r="H43" s="41" t="s">
        <v>127</v>
      </c>
      <c r="I43" s="41" t="s">
        <v>14</v>
      </c>
      <c r="J43" s="43">
        <v>93</v>
      </c>
      <c r="K43" s="44">
        <v>5</v>
      </c>
      <c r="L43" s="45">
        <v>23.7</v>
      </c>
      <c r="M43" s="46">
        <v>0.76407541913332999</v>
      </c>
      <c r="N43" s="41">
        <v>0.99957435009241302</v>
      </c>
      <c r="O43" s="41">
        <v>3.15</v>
      </c>
      <c r="P43" s="41">
        <v>4.4800000000000004</v>
      </c>
      <c r="Q43" s="46">
        <v>0.44366095177738801</v>
      </c>
      <c r="R43" s="41">
        <v>2.2999999999999998</v>
      </c>
      <c r="S43" s="41">
        <v>0.4790430111865695</v>
      </c>
      <c r="T43" s="41">
        <v>2.415</v>
      </c>
      <c r="U43" s="43">
        <v>204</v>
      </c>
      <c r="V43" s="44">
        <v>35</v>
      </c>
      <c r="W43" s="45">
        <v>52</v>
      </c>
      <c r="X43" s="46">
        <v>1.8540057397343901</v>
      </c>
      <c r="Y43" s="41">
        <v>2.4017704268597599</v>
      </c>
      <c r="Z43" s="41">
        <v>4.3099999999999996</v>
      </c>
      <c r="AA43" s="41">
        <v>5.81</v>
      </c>
      <c r="AB43" s="46">
        <v>1.06728399752318</v>
      </c>
      <c r="AC43" s="41">
        <v>3.62</v>
      </c>
      <c r="AD43" s="46">
        <v>1.153247381161725</v>
      </c>
      <c r="AE43" s="47">
        <v>3.7250000000000001</v>
      </c>
    </row>
    <row r="44" spans="1:31" s="7" customFormat="1" x14ac:dyDescent="0.3">
      <c r="A44" s="48" t="s">
        <v>86</v>
      </c>
      <c r="B44" s="49" t="s">
        <v>87</v>
      </c>
      <c r="C44" s="50" t="s">
        <v>88</v>
      </c>
      <c r="D44" s="51">
        <v>150</v>
      </c>
      <c r="E44" s="52">
        <v>29</v>
      </c>
      <c r="F44" s="52">
        <v>221</v>
      </c>
      <c r="G44" s="49">
        <v>0.19333333333333333</v>
      </c>
      <c r="H44" s="49" t="s">
        <v>127</v>
      </c>
      <c r="I44" s="49" t="s">
        <v>14</v>
      </c>
      <c r="J44" s="51">
        <v>85</v>
      </c>
      <c r="K44" s="52">
        <v>5</v>
      </c>
      <c r="L44" s="53">
        <v>27.4</v>
      </c>
      <c r="M44" s="48">
        <v>0.79918450345501002</v>
      </c>
      <c r="N44" s="49">
        <v>0.88626316511913705</v>
      </c>
      <c r="O44" s="49">
        <v>3.22</v>
      </c>
      <c r="P44" s="49">
        <v>4.2699999999999996</v>
      </c>
      <c r="Q44" s="48">
        <v>0.51483445744874101</v>
      </c>
      <c r="R44" s="49">
        <v>2.5499999999999998</v>
      </c>
      <c r="S44" s="49">
        <v>0.56645512026092293</v>
      </c>
      <c r="T44" s="49">
        <v>2.6950000000000003</v>
      </c>
      <c r="U44" s="51">
        <v>168</v>
      </c>
      <c r="V44" s="52">
        <v>38</v>
      </c>
      <c r="W44" s="53">
        <v>51.7</v>
      </c>
      <c r="X44" s="48">
        <v>1.6494590098008599</v>
      </c>
      <c r="Y44" s="49">
        <v>2.02651536488808</v>
      </c>
      <c r="Z44" s="49">
        <v>4.17</v>
      </c>
      <c r="AA44" s="49">
        <v>5.58</v>
      </c>
      <c r="AB44" s="48">
        <v>1.09629835683168</v>
      </c>
      <c r="AC44" s="49">
        <v>3.66</v>
      </c>
      <c r="AD44" s="48">
        <v>1.18473940998746</v>
      </c>
      <c r="AE44" s="54">
        <v>3.76</v>
      </c>
    </row>
    <row r="45" spans="1:31" s="7" customFormat="1" x14ac:dyDescent="0.3">
      <c r="A45" s="46" t="s">
        <v>119</v>
      </c>
      <c r="B45" s="41" t="s">
        <v>117</v>
      </c>
      <c r="C45" s="42" t="s">
        <v>120</v>
      </c>
      <c r="D45" s="43">
        <v>132</v>
      </c>
      <c r="E45" s="44">
        <v>29.5</v>
      </c>
      <c r="F45" s="44">
        <v>220.5</v>
      </c>
      <c r="G45" s="41">
        <v>0.22348484848484848</v>
      </c>
      <c r="H45" s="41" t="s">
        <v>127</v>
      </c>
      <c r="I45" s="41" t="s">
        <v>14</v>
      </c>
      <c r="J45" s="43">
        <v>99</v>
      </c>
      <c r="K45" s="44">
        <v>5</v>
      </c>
      <c r="L45" s="45">
        <v>29.3</v>
      </c>
      <c r="M45" s="46">
        <v>0.86166147000630799</v>
      </c>
      <c r="N45" s="41">
        <v>0.987961074383369</v>
      </c>
      <c r="O45" s="41">
        <v>3.33</v>
      </c>
      <c r="P45" s="41">
        <v>4.46</v>
      </c>
      <c r="Q45" s="46">
        <v>0.49721907683086602</v>
      </c>
      <c r="R45" s="41">
        <v>2.4900000000000002</v>
      </c>
      <c r="S45" s="41">
        <v>0.53720022522969701</v>
      </c>
      <c r="T45" s="41">
        <v>2.62</v>
      </c>
      <c r="U45" s="43">
        <v>187</v>
      </c>
      <c r="V45" s="44">
        <v>28</v>
      </c>
      <c r="W45" s="45">
        <v>48.7</v>
      </c>
      <c r="X45" s="46">
        <v>1.64797003226019</v>
      </c>
      <c r="Y45" s="41">
        <v>1.8465339780111401</v>
      </c>
      <c r="Z45" s="41">
        <v>4.17</v>
      </c>
      <c r="AA45" s="41">
        <v>5.45</v>
      </c>
      <c r="AB45" s="46">
        <v>0.93554212378755397</v>
      </c>
      <c r="AC45" s="41">
        <v>3.44</v>
      </c>
      <c r="AD45" s="46">
        <v>1.0086015735221991</v>
      </c>
      <c r="AE45" s="47">
        <v>3.5449999999999999</v>
      </c>
    </row>
    <row r="46" spans="1:31" s="7" customFormat="1" x14ac:dyDescent="0.3">
      <c r="A46" s="48" t="s">
        <v>116</v>
      </c>
      <c r="B46" s="49" t="s">
        <v>117</v>
      </c>
      <c r="C46" s="50" t="s">
        <v>118</v>
      </c>
      <c r="D46" s="51">
        <v>132</v>
      </c>
      <c r="E46" s="52">
        <v>19</v>
      </c>
      <c r="F46" s="52">
        <v>231</v>
      </c>
      <c r="G46" s="49">
        <v>0.14393939393939395</v>
      </c>
      <c r="H46" s="49" t="s">
        <v>125</v>
      </c>
      <c r="I46" s="49" t="s">
        <v>14</v>
      </c>
      <c r="J46" s="51">
        <v>108</v>
      </c>
      <c r="K46" s="52">
        <v>5</v>
      </c>
      <c r="L46" s="53">
        <v>27.4</v>
      </c>
      <c r="M46" s="48">
        <v>0.35919019118998002</v>
      </c>
      <c r="N46" s="49">
        <v>0.46257566227046198</v>
      </c>
      <c r="O46" s="49">
        <v>1.94</v>
      </c>
      <c r="P46" s="49">
        <v>3.01</v>
      </c>
      <c r="Q46" s="48">
        <v>0.318757740955669</v>
      </c>
      <c r="R46" s="49">
        <v>1.72</v>
      </c>
      <c r="S46" s="49">
        <v>0.33925612691894902</v>
      </c>
      <c r="T46" s="49">
        <v>1.83</v>
      </c>
      <c r="U46" s="51">
        <v>192</v>
      </c>
      <c r="V46" s="52">
        <v>28</v>
      </c>
      <c r="W46" s="53">
        <v>48.5</v>
      </c>
      <c r="X46" s="48">
        <v>0.67896886518465005</v>
      </c>
      <c r="Y46" s="49">
        <v>0.72854071623542704</v>
      </c>
      <c r="Z46" s="49">
        <v>2.98</v>
      </c>
      <c r="AA46" s="49">
        <v>3.91</v>
      </c>
      <c r="AB46" s="48">
        <v>0.50611489818000499</v>
      </c>
      <c r="AC46" s="49">
        <v>2.52</v>
      </c>
      <c r="AD46" s="48">
        <v>0.53356566972014552</v>
      </c>
      <c r="AE46" s="54">
        <v>2.605</v>
      </c>
    </row>
    <row r="47" spans="1:31" s="7" customFormat="1" x14ac:dyDescent="0.3">
      <c r="A47" s="46" t="s">
        <v>152</v>
      </c>
      <c r="B47" s="41" t="s">
        <v>117</v>
      </c>
      <c r="C47" s="42" t="s">
        <v>153</v>
      </c>
      <c r="D47" s="43">
        <v>132</v>
      </c>
      <c r="E47" s="44">
        <v>32</v>
      </c>
      <c r="F47" s="44">
        <v>218</v>
      </c>
      <c r="G47" s="41">
        <v>0.24242424242424243</v>
      </c>
      <c r="H47" s="41" t="s">
        <v>127</v>
      </c>
      <c r="I47" s="41" t="s">
        <v>29</v>
      </c>
      <c r="J47" s="43">
        <v>86</v>
      </c>
      <c r="K47" s="44">
        <v>13</v>
      </c>
      <c r="L47" s="45">
        <v>33.1</v>
      </c>
      <c r="M47" s="46">
        <v>0.72</v>
      </c>
      <c r="N47" s="41">
        <v>0.81</v>
      </c>
      <c r="O47" s="41">
        <v>3.07</v>
      </c>
      <c r="P47" s="41">
        <v>4.0999999999999996</v>
      </c>
      <c r="Q47" s="46">
        <v>0.42</v>
      </c>
      <c r="R47" s="41">
        <v>2.19</v>
      </c>
      <c r="S47" s="41">
        <v>0.45</v>
      </c>
      <c r="T47" s="41">
        <v>2.31</v>
      </c>
      <c r="U47" s="43">
        <v>175</v>
      </c>
      <c r="V47" s="44">
        <v>56</v>
      </c>
      <c r="W47" s="45">
        <v>46.5</v>
      </c>
      <c r="X47" s="46">
        <v>1.41</v>
      </c>
      <c r="Y47" s="41">
        <v>1.84</v>
      </c>
      <c r="Z47" s="41">
        <v>3.98</v>
      </c>
      <c r="AA47" s="41">
        <v>5.44</v>
      </c>
      <c r="AB47" s="46">
        <v>0.86</v>
      </c>
      <c r="AC47" s="41">
        <v>3.33</v>
      </c>
      <c r="AD47" s="46">
        <v>0.93</v>
      </c>
      <c r="AE47" s="47">
        <v>3.44</v>
      </c>
    </row>
    <row r="48" spans="1:31" s="7" customFormat="1" x14ac:dyDescent="0.3">
      <c r="A48" s="48" t="s">
        <v>92</v>
      </c>
      <c r="B48" s="49" t="s">
        <v>93</v>
      </c>
      <c r="C48" s="50" t="s">
        <v>94</v>
      </c>
      <c r="D48" s="51">
        <v>140</v>
      </c>
      <c r="E48" s="52">
        <v>34</v>
      </c>
      <c r="F48" s="52">
        <v>216</v>
      </c>
      <c r="G48" s="49">
        <v>0.24285714285714285</v>
      </c>
      <c r="H48" s="49" t="s">
        <v>127</v>
      </c>
      <c r="I48" s="49" t="s">
        <v>29</v>
      </c>
      <c r="J48" s="51"/>
      <c r="K48" s="52"/>
      <c r="L48" s="53"/>
      <c r="M48" s="48"/>
      <c r="N48" s="49"/>
      <c r="O48" s="49"/>
      <c r="P48" s="49"/>
      <c r="Q48" s="48"/>
      <c r="R48" s="49"/>
      <c r="S48" s="49"/>
      <c r="T48" s="49"/>
      <c r="U48" s="51">
        <v>270</v>
      </c>
      <c r="V48" s="52">
        <v>72</v>
      </c>
      <c r="W48" s="53">
        <v>59.7</v>
      </c>
      <c r="X48" s="48">
        <v>1.48144003705865</v>
      </c>
      <c r="Y48" s="49">
        <v>1.8453638443290401</v>
      </c>
      <c r="Z48" s="49">
        <v>4.04</v>
      </c>
      <c r="AA48" s="49">
        <v>5.45</v>
      </c>
      <c r="AB48" s="48">
        <v>1.00383595588201</v>
      </c>
      <c r="AC48" s="49">
        <v>3.54</v>
      </c>
      <c r="AD48" s="48">
        <v>1.0763096085009649</v>
      </c>
      <c r="AE48" s="54">
        <v>3.63</v>
      </c>
    </row>
    <row r="49" spans="1:31" s="7" customFormat="1" x14ac:dyDescent="0.3">
      <c r="A49" s="46" t="s">
        <v>114</v>
      </c>
      <c r="B49" s="41" t="s">
        <v>115</v>
      </c>
      <c r="C49" s="42">
        <v>65052</v>
      </c>
      <c r="D49" s="43">
        <v>122</v>
      </c>
      <c r="E49" s="44">
        <v>25.5</v>
      </c>
      <c r="F49" s="44">
        <v>224.5</v>
      </c>
      <c r="G49" s="41">
        <v>0.20901639344262296</v>
      </c>
      <c r="H49" s="41" t="s">
        <v>127</v>
      </c>
      <c r="I49" s="41" t="s">
        <v>14</v>
      </c>
      <c r="J49" s="43">
        <v>118</v>
      </c>
      <c r="K49" s="44">
        <v>26</v>
      </c>
      <c r="L49" s="45">
        <v>37.700000000000003</v>
      </c>
      <c r="M49" s="46">
        <v>0.66789974299343302</v>
      </c>
      <c r="N49" s="41">
        <v>0.72590504957291402</v>
      </c>
      <c r="O49" s="41">
        <v>2.95</v>
      </c>
      <c r="P49" s="41">
        <v>3.9</v>
      </c>
      <c r="Q49" s="46">
        <v>0.40712599967753199</v>
      </c>
      <c r="R49" s="41">
        <v>2.16</v>
      </c>
      <c r="S49" s="41">
        <v>0.44196100488755452</v>
      </c>
      <c r="T49" s="41">
        <v>2.29</v>
      </c>
      <c r="U49" s="43">
        <v>189</v>
      </c>
      <c r="V49" s="44">
        <v>55</v>
      </c>
      <c r="W49" s="45">
        <v>46.7</v>
      </c>
      <c r="X49" s="46">
        <v>1.10946579075317</v>
      </c>
      <c r="Y49" s="41">
        <v>1.22329601153479</v>
      </c>
      <c r="Z49" s="41">
        <v>3.67</v>
      </c>
      <c r="AA49" s="41">
        <v>4.82</v>
      </c>
      <c r="AB49" s="46">
        <v>0.64516733986986297</v>
      </c>
      <c r="AC49" s="41">
        <v>2.9</v>
      </c>
      <c r="AD49" s="46">
        <v>0.69297065581862394</v>
      </c>
      <c r="AE49" s="47">
        <v>3.01</v>
      </c>
    </row>
    <row r="50" spans="1:31" s="7" customFormat="1" x14ac:dyDescent="0.3">
      <c r="A50" s="48" t="s">
        <v>89</v>
      </c>
      <c r="B50" s="49" t="s">
        <v>90</v>
      </c>
      <c r="C50" s="50" t="s">
        <v>91</v>
      </c>
      <c r="D50" s="51">
        <v>122</v>
      </c>
      <c r="E50" s="52">
        <v>23</v>
      </c>
      <c r="F50" s="52">
        <v>227</v>
      </c>
      <c r="G50" s="49">
        <v>0.18852459016393441</v>
      </c>
      <c r="H50" s="49" t="s">
        <v>127</v>
      </c>
      <c r="I50" s="49" t="s">
        <v>29</v>
      </c>
      <c r="J50" s="51">
        <v>142</v>
      </c>
      <c r="K50" s="52">
        <v>59</v>
      </c>
      <c r="L50" s="53">
        <v>41.6</v>
      </c>
      <c r="M50" s="48">
        <v>0.555785225805698</v>
      </c>
      <c r="N50" s="49">
        <v>0.64371334946981695</v>
      </c>
      <c r="O50" s="49">
        <v>2.67</v>
      </c>
      <c r="P50" s="49">
        <v>3.68</v>
      </c>
      <c r="Q50" s="48">
        <v>0.34306391715595003</v>
      </c>
      <c r="R50" s="49">
        <v>1.86</v>
      </c>
      <c r="S50" s="49">
        <v>0.36624646808872302</v>
      </c>
      <c r="T50" s="49">
        <v>1.9649999999999999</v>
      </c>
      <c r="U50" s="51">
        <v>283</v>
      </c>
      <c r="V50" s="52">
        <v>63</v>
      </c>
      <c r="W50" s="53">
        <v>59.3</v>
      </c>
      <c r="X50" s="48">
        <v>1.26547487302368</v>
      </c>
      <c r="Y50" s="49">
        <v>1.383677331918</v>
      </c>
      <c r="Z50" s="49">
        <v>3.84</v>
      </c>
      <c r="AA50" s="49">
        <v>5.01</v>
      </c>
      <c r="AB50" s="48">
        <v>0.70077004982574298</v>
      </c>
      <c r="AC50" s="49">
        <v>3.03</v>
      </c>
      <c r="AD50" s="48">
        <v>0.75553935598215249</v>
      </c>
      <c r="AE50" s="54">
        <v>3.1349999999999998</v>
      </c>
    </row>
    <row r="51" spans="1:31" s="7" customFormat="1" ht="15" thickBot="1" x14ac:dyDescent="0.35">
      <c r="A51" s="90" t="s">
        <v>60</v>
      </c>
      <c r="B51" s="91" t="s">
        <v>61</v>
      </c>
      <c r="C51" s="92" t="s">
        <v>62</v>
      </c>
      <c r="D51" s="93">
        <v>117</v>
      </c>
      <c r="E51" s="94">
        <v>33</v>
      </c>
      <c r="F51" s="94">
        <v>217</v>
      </c>
      <c r="G51" s="91">
        <v>0.28205128205128205</v>
      </c>
      <c r="H51" s="91" t="s">
        <v>127</v>
      </c>
      <c r="I51" s="91" t="s">
        <v>14</v>
      </c>
      <c r="J51" s="93">
        <v>110</v>
      </c>
      <c r="K51" s="94">
        <v>4</v>
      </c>
      <c r="L51" s="95">
        <v>27.6</v>
      </c>
      <c r="M51" s="90">
        <v>0.460684638846869</v>
      </c>
      <c r="N51" s="91">
        <v>0.63640408689861105</v>
      </c>
      <c r="O51" s="91">
        <v>2.37</v>
      </c>
      <c r="P51" s="91">
        <v>3.65</v>
      </c>
      <c r="Q51" s="90">
        <v>0.31995521678234201</v>
      </c>
      <c r="R51" s="91">
        <v>1.73</v>
      </c>
      <c r="S51" s="91">
        <v>0.33912382177933298</v>
      </c>
      <c r="T51" s="91">
        <v>1.8399999999999999</v>
      </c>
      <c r="U51" s="93">
        <v>233</v>
      </c>
      <c r="V51" s="94">
        <v>28</v>
      </c>
      <c r="W51" s="95">
        <v>51.9</v>
      </c>
      <c r="X51" s="90">
        <v>1.08953625109074</v>
      </c>
      <c r="Y51" s="91">
        <v>1.33984520059687</v>
      </c>
      <c r="Z51" s="91">
        <v>3.65</v>
      </c>
      <c r="AA51" s="91">
        <v>4.96</v>
      </c>
      <c r="AB51" s="90">
        <v>0.68594818006533298</v>
      </c>
      <c r="AC51" s="91">
        <v>2.99</v>
      </c>
      <c r="AD51" s="90">
        <v>0.73254061239594648</v>
      </c>
      <c r="AE51" s="96">
        <v>3.085</v>
      </c>
    </row>
    <row r="52" spans="1:31" s="7" customFormat="1" x14ac:dyDescent="0.3">
      <c r="D52" s="2"/>
      <c r="E52" s="2"/>
      <c r="F52" s="2"/>
      <c r="G52" s="2"/>
      <c r="H52" s="2"/>
    </row>
    <row r="53" spans="1:31" s="7" customFormat="1" x14ac:dyDescent="0.3">
      <c r="D53" s="2"/>
      <c r="E53" s="2"/>
      <c r="F53" s="2"/>
      <c r="G53" s="2"/>
      <c r="H53" s="2"/>
    </row>
    <row r="54" spans="1:31" s="7" customFormat="1" x14ac:dyDescent="0.3">
      <c r="D54" s="9"/>
      <c r="E54" s="9"/>
      <c r="F54" s="9"/>
      <c r="G54" s="2"/>
      <c r="H54" s="2"/>
    </row>
    <row r="55" spans="1:31" s="7" customFormat="1" x14ac:dyDescent="0.3">
      <c r="D55" s="9"/>
      <c r="E55" s="9"/>
      <c r="F55" s="9"/>
      <c r="G55" s="2"/>
      <c r="H55" s="2"/>
    </row>
    <row r="56" spans="1:31" s="7" customFormat="1" x14ac:dyDescent="0.3">
      <c r="C56" s="1"/>
      <c r="D56" s="9"/>
      <c r="E56" s="9"/>
      <c r="F56" s="9"/>
      <c r="G56" s="2"/>
      <c r="H56" s="2"/>
    </row>
    <row r="57" spans="1:31" x14ac:dyDescent="0.3">
      <c r="D57" s="9"/>
      <c r="E57" s="9"/>
      <c r="F57" s="9"/>
    </row>
    <row r="58" spans="1:31" x14ac:dyDescent="0.3">
      <c r="D58" s="9"/>
      <c r="E58" s="9"/>
      <c r="F58" s="9"/>
    </row>
    <row r="59" spans="1:31" x14ac:dyDescent="0.3">
      <c r="D59" s="9"/>
      <c r="E59" s="9"/>
      <c r="F59" s="9"/>
    </row>
    <row r="60" spans="1:31" x14ac:dyDescent="0.3">
      <c r="D60" s="9"/>
      <c r="E60" s="9"/>
      <c r="F60" s="9"/>
    </row>
    <row r="61" spans="1:31" x14ac:dyDescent="0.3">
      <c r="D61" s="9"/>
      <c r="E61" s="9"/>
      <c r="F61" s="9"/>
    </row>
    <row r="62" spans="1:31" x14ac:dyDescent="0.3">
      <c r="G62" s="10"/>
      <c r="H62" s="10"/>
    </row>
  </sheetData>
  <sheetProtection algorithmName="SHA-512" hashValue="CGptMQdlcY+6UiB2/7CCrDhnC4ZQiEHi7AfIX2oA+KBV5t6XtVhF73eZRpTu3MjuOaAMSzMym8gS7orNmGojGw==" saltValue="MAIqOEFFwMygDS/rdUdrfA==" spinCount="100000" sheet="1" objects="1" scenarios="1" autoFilter="0"/>
  <autoFilter ref="A3:AE51" xr:uid="{256E9AC1-BEB8-4B72-9771-E602CB4D295E}">
    <sortState xmlns:xlrd2="http://schemas.microsoft.com/office/spreadsheetml/2017/richdata2" ref="A4:AE51">
      <sortCondition ref="A3:A51"/>
    </sortState>
  </autoFilter>
  <mergeCells count="8">
    <mergeCell ref="U1:AE1"/>
    <mergeCell ref="M2:P2"/>
    <mergeCell ref="Q2:R2"/>
    <mergeCell ref="S2:T2"/>
    <mergeCell ref="X2:AA2"/>
    <mergeCell ref="AB2:AC2"/>
    <mergeCell ref="AD2:AE2"/>
    <mergeCell ref="J1:T1"/>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9C5830-A98A-40B9-B644-FE50A3FDF9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Accueil</vt:lpstr>
      <vt:lpstr>BDD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Tangi LE BERIGOT</dc:creator>
  <cp:lastModifiedBy>Tangi LE BERIGOT</cp:lastModifiedBy>
  <dcterms:created xsi:type="dcterms:W3CDTF">2025-12-08T07:53:34Z</dcterms:created>
  <dcterms:modified xsi:type="dcterms:W3CDTF">2026-01-22T20:44:45Z</dcterms:modified>
</cp:coreProperties>
</file>